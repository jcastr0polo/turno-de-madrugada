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Resumen" sheetId="1" state="visible" r:id="rId3"/>
    <sheet name="1. Presupuesto" sheetId="2" state="visible" r:id="rId4"/>
    <sheet name="2. Cronograma" sheetId="3" state="visible" r:id="rId5"/>
    <sheet name="3. KPI e IE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<sst xmlns="http://schemas.openxmlformats.org/spreadsheetml/2006/main" count="216" uniqueCount="165">
  <si>
    <t xml:space="preserve">El turno de la madrugada</t>
  </si>
  <si>
    <t xml:space="preserve">Turno de madrugada: cronica hipertextual y episodio de audio</t>
  </si>
  <si>
    <t xml:space="preserve">Autoria</t>
  </si>
  <si>
    <t xml:space="preserve">Leidy Carolina Granados Celis: investigacion, cronica, guion y voz</t>
  </si>
  <si>
    <t xml:space="preserve">Alexis Triana Quintana: desarrollo tecnico y construccion del sitio web</t>
  </si>
  <si>
    <t xml:space="preserve">Asignatura</t>
  </si>
  <si>
    <t xml:space="preserve">Taller de Creación de Contenidos - 53305</t>
  </si>
  <si>
    <t xml:space="preserve">Institucion</t>
  </si>
  <si>
    <t xml:space="preserve">Corporación Unificada Nacional de Educación Superior (CUN)</t>
  </si>
  <si>
    <t xml:space="preserve">Ciudad</t>
  </si>
  <si>
    <t xml:space="preserve">Santa Marta, Magdalena</t>
  </si>
  <si>
    <t xml:space="preserve">Periodo de ejecucion</t>
  </si>
  <si>
    <t xml:space="preserve">Septiembre de 2026</t>
  </si>
  <si>
    <t xml:space="preserve">Cronica web</t>
  </si>
  <si>
    <t xml:space="preserve">El turno de la madrugada, con cinco capas de contexto</t>
  </si>
  <si>
    <t xml:space="preserve">Episodio de audio</t>
  </si>
  <si>
    <t xml:space="preserve">"Lo que queda del dia", relato en primera persona</t>
  </si>
  <si>
    <t xml:space="preserve">Cifras de control</t>
  </si>
  <si>
    <t xml:space="preserve">Inversion CAPEX</t>
  </si>
  <si>
    <t xml:space="preserve">Inversion OPEX</t>
  </si>
  <si>
    <t xml:space="preserve">Inversion total</t>
  </si>
  <si>
    <t xml:space="preserve">Duracion del proyecto (dias)</t>
  </si>
  <si>
    <t xml:space="preserve">Valor de impacto (puntos)</t>
  </si>
  <si>
    <t xml:space="preserve">Indice de Eficiencia de Contenido</t>
  </si>
  <si>
    <t xml:space="preserve">Las cifras de este cuadro estan enlazadas a las hojas 1, 2 y 3: al cambiar un dato alli, aqui se actualiza solo.</t>
  </si>
  <si>
    <t xml:space="preserve">Los precios son estimaciones de mercado de septiembre de 2026 y se confirman contra la factura antes de ejecutar la compra.</t>
  </si>
  <si>
    <t xml:space="preserve">El desarrollo del sitio y la produccion sonora los hizo el equipo, por eso no aparecen como costo. Contratados por fuera, habria que sumar honorarios de desarrollo y de postproduccion.</t>
  </si>
  <si>
    <t xml:space="preserve">Presupuesto operativo</t>
  </si>
  <si>
    <t xml:space="preserve">El turno de la madrugada. Septiembre de 2026. Cifras en pesos colombianos</t>
  </si>
  <si>
    <t xml:space="preserve">Precios de mercado consultados en Santa Marta en septiembre de 2026. Se confirman contra factura antes de comprar.</t>
  </si>
  <si>
    <t xml:space="preserve">Tipo</t>
  </si>
  <si>
    <t xml:space="preserve">Categoria</t>
  </si>
  <si>
    <t xml:space="preserve">Concepto</t>
  </si>
  <si>
    <t xml:space="preserve">Cantidad</t>
  </si>
  <si>
    <t xml:space="preserve">Unidad</t>
  </si>
  <si>
    <t xml:space="preserve">Valor unitario</t>
  </si>
  <si>
    <t xml:space="preserve">Subtotal</t>
  </si>
  <si>
    <t xml:space="preserve">Justificacion</t>
  </si>
  <si>
    <t xml:space="preserve">CAPEX</t>
  </si>
  <si>
    <t xml:space="preserve">Captura de audio</t>
  </si>
  <si>
    <t xml:space="preserve">Micrófono de solapa con cable TRRS</t>
  </si>
  <si>
    <t xml:space="preserve">unidad</t>
  </si>
  <si>
    <t xml:space="preserve">Necesario para el estándar de -12 dB a -6 dB</t>
  </si>
  <si>
    <t xml:space="preserve">Auriculares cerrados de monitoreo</t>
  </si>
  <si>
    <t xml:space="preserve">Control de saturación durante la grabación</t>
  </si>
  <si>
    <t xml:space="preserve">Captura de video</t>
  </si>
  <si>
    <t xml:space="preserve">Tripode con soporte para movil</t>
  </si>
  <si>
    <t xml:space="preserve">Encuadre estable, regla de los tercios</t>
  </si>
  <si>
    <t xml:space="preserve">Almacenamiento</t>
  </si>
  <si>
    <t xml:space="preserve">Tarjeta microSD 128 GB clase 10</t>
  </si>
  <si>
    <t xml:space="preserve">Brutos de audio y respaldo</t>
  </si>
  <si>
    <t xml:space="preserve">Equipo base</t>
  </si>
  <si>
    <t xml:space="preserve">Movil 1080p: depreciacion del periodo</t>
  </si>
  <si>
    <t xml:space="preserve">mes</t>
  </si>
  <si>
    <t xml:space="preserve">Equipo propio de 1.800.000 a 24 meses</t>
  </si>
  <si>
    <t xml:space="preserve">Subtotal CAPEX: bienes duraderos y equipos</t>
  </si>
  <si>
    <t xml:space="preserve">OPEX</t>
  </si>
  <si>
    <t xml:space="preserve">Conectividad</t>
  </si>
  <si>
    <t xml:space="preserve">Plan de datos moviles</t>
  </si>
  <si>
    <t xml:space="preserve">Reporteria en terreno y publicacion</t>
  </si>
  <si>
    <t xml:space="preserve">Internet fijo del hogar</t>
  </si>
  <si>
    <t xml:space="preserve">Edicion y desarrollo en franja de madrugada</t>
  </si>
  <si>
    <t xml:space="preserve">Transporte de campo</t>
  </si>
  <si>
    <t xml:space="preserve">Pasajes urbanos para reporteria</t>
  </si>
  <si>
    <t xml:space="preserve">viaje</t>
  </si>
  <si>
    <t xml:space="preserve">Centros de Escucha y recorridos por barrios</t>
  </si>
  <si>
    <t xml:space="preserve">Viaticos</t>
  </si>
  <si>
    <t xml:space="preserve">Alimentacion en jornadas de terreno</t>
  </si>
  <si>
    <t xml:space="preserve">jornada</t>
  </si>
  <si>
    <t xml:space="preserve">Salidas de mas de cinco horas</t>
  </si>
  <si>
    <t xml:space="preserve">Tramites</t>
  </si>
  <si>
    <t xml:space="preserve">Impresiones y papeleria del proyecto</t>
  </si>
  <si>
    <t xml:space="preserve">global</t>
  </si>
  <si>
    <t xml:space="preserve">Soportes fisicos del proceso de verificacion</t>
  </si>
  <si>
    <t xml:space="preserve">Publicacion</t>
  </si>
  <si>
    <t xml:space="preserve">Dominio propio: prorrateo del periodo</t>
  </si>
  <si>
    <t xml:space="preserve">Anualidad de 90.000 repartida</t>
  </si>
  <si>
    <t xml:space="preserve">Alojamiento web y base de datos</t>
  </si>
  <si>
    <t xml:space="preserve">Vercel y Supabase en plan gratuito</t>
  </si>
  <si>
    <t xml:space="preserve">Entrega del audio desde el propio sitio</t>
  </si>
  <si>
    <t xml:space="preserve">Archivo alojado en Vercel, sin costo adicional</t>
  </si>
  <si>
    <t xml:space="preserve">Postproduccion</t>
  </si>
  <si>
    <t xml:space="preserve">Software de edicion de audio</t>
  </si>
  <si>
    <t xml:space="preserve">Audacity, software libre</t>
  </si>
  <si>
    <t xml:space="preserve">Subtotal OPEX: operacion, conectividad y trabajo de campo</t>
  </si>
  <si>
    <t xml:space="preserve">INVERSION TOTAL DEL PROYECTO</t>
  </si>
  <si>
    <t xml:space="preserve">Peso de cada tipo</t>
  </si>
  <si>
    <t xml:space="preserve">Cronograma de tiempos y movimientos</t>
  </si>
  <si>
    <t xml:space="preserve">El turno de la madrugada. Diagrama de Gantt por fase y por pieza</t>
  </si>
  <si>
    <t xml:space="preserve">sep</t>
  </si>
  <si>
    <t xml:space="preserve">Fase</t>
  </si>
  <si>
    <t xml:space="preserve">Tarea</t>
  </si>
  <si>
    <t xml:space="preserve">Pieza</t>
  </si>
  <si>
    <t xml:space="preserve">Inicio</t>
  </si>
  <si>
    <t xml:space="preserve">Fin</t>
  </si>
  <si>
    <t xml:space="preserve">Dias</t>
  </si>
  <si>
    <t xml:space="preserve">Preproduccion intelectual</t>
  </si>
  <si>
    <t xml:space="preserve">Definicion del angulo y de la tesis</t>
  </si>
  <si>
    <t xml:space="preserve">Las dos</t>
  </si>
  <si>
    <t xml:space="preserve">Rastreo documental: DANE, Minsalud, leyes</t>
  </si>
  <si>
    <t xml:space="preserve">Verificacion factica de cada cifra</t>
  </si>
  <si>
    <t xml:space="preserve">Consulta de la oferta institucional de bienestar</t>
  </si>
  <si>
    <t xml:space="preserve">Produccion de la cronica</t>
  </si>
  <si>
    <t xml:space="preserve">Escritura de la cronica</t>
  </si>
  <si>
    <t xml:space="preserve">Cronica</t>
  </si>
  <si>
    <t xml:space="preserve">Diseno de las cinco capas del hipertexto</t>
  </si>
  <si>
    <t xml:space="preserve">Produccion del audio</t>
  </si>
  <si>
    <t xml:space="preserve">Guion del episodio en primera persona</t>
  </si>
  <si>
    <t xml:space="preserve">Audio</t>
  </si>
  <si>
    <t xml:space="preserve">Grabacion en franja de madrugada</t>
  </si>
  <si>
    <t xml:space="preserve">Desarrollo y accesibilidad del sitio</t>
  </si>
  <si>
    <t xml:space="preserve">Edicion y control de niveles del audio</t>
  </si>
  <si>
    <t xml:space="preserve">Publicacion de las dos piezas</t>
  </si>
  <si>
    <t xml:space="preserve">Distribucion y medicion</t>
  </si>
  <si>
    <t xml:space="preserve">Difusion y recogida de aportes del publico</t>
  </si>
  <si>
    <t xml:space="preserve">Lectura de metricas y calculo del IEC</t>
  </si>
  <si>
    <t xml:space="preserve">Leyenda</t>
  </si>
  <si>
    <t xml:space="preserve">Tablero de control de impacto</t>
  </si>
  <si>
    <t xml:space="preserve">El turno de la madrugada. Proyeccion de alcance, engagement y conversion a 30 dias de la publicacion</t>
  </si>
  <si>
    <t xml:space="preserve">La columna de la derecha es el resultado que se espera alcanzar, no una medicion: las piezas se publican el 13 de septiembre y las metricas se leen entre el 18 y el 20.</t>
  </si>
  <si>
    <t xml:space="preserve">Dimension</t>
  </si>
  <si>
    <t xml:space="preserve">Indicador</t>
  </si>
  <si>
    <t xml:space="preserve">Meta</t>
  </si>
  <si>
    <t xml:space="preserve">Proyeccion</t>
  </si>
  <si>
    <t xml:space="preserve">Cumplimiento</t>
  </si>
  <si>
    <t xml:space="preserve">Fuente de medicion</t>
  </si>
  <si>
    <t xml:space="preserve">Alcance</t>
  </si>
  <si>
    <t xml:space="preserve">Visitas unicas a la cronica</t>
  </si>
  <si>
    <t xml:space="preserve">Vercel Analytics</t>
  </si>
  <si>
    <t xml:space="preserve">Reproducciones iniciadas del episodio en el sitio</t>
  </si>
  <si>
    <t xml:space="preserve">Analitica del sitio</t>
  </si>
  <si>
    <t xml:space="preserve">Impresiones en difusion directa</t>
  </si>
  <si>
    <t xml:space="preserve">WhatsApp e Instagram</t>
  </si>
  <si>
    <t xml:space="preserve">Total Alcance</t>
  </si>
  <si>
    <t xml:space="preserve">Engagement</t>
  </si>
  <si>
    <t xml:space="preserve">Capas del hipertexto abiertas</t>
  </si>
  <si>
    <t xml:space="preserve">Evento en el sitio</t>
  </si>
  <si>
    <t xml:space="preserve">Votos en la encuesta</t>
  </si>
  <si>
    <t xml:space="preserve">Base de datos del sitio</t>
  </si>
  <si>
    <t xml:space="preserve">Escucha superior al 50 % del episodio</t>
  </si>
  <si>
    <t xml:space="preserve">Total Engagement</t>
  </si>
  <si>
    <t xml:space="preserve">Conversion</t>
  </si>
  <si>
    <t xml:space="preserve">Aportes escritos en el muro</t>
  </si>
  <si>
    <t xml:space="preserve">Clics en las lineas de ayuda</t>
  </si>
  <si>
    <t xml:space="preserve">Episodio escuchado hasta el final</t>
  </si>
  <si>
    <t xml:space="preserve">Total Conversion</t>
  </si>
  <si>
    <t xml:space="preserve">Indice de Eficiencia de Contenido (IEC)</t>
  </si>
  <si>
    <t xml:space="preserve">Convierte el impacto conseguido en puntos y lo divide entre la inversion. Una conversion pesa mas que una impresion: quien escribe su turno o marca una linea de ayuda hizo algo, no solo paso por delante.</t>
  </si>
  <si>
    <t xml:space="preserve">Formula</t>
  </si>
  <si>
    <t xml:space="preserve">Resultado</t>
  </si>
  <si>
    <t xml:space="preserve">Peso</t>
  </si>
  <si>
    <t xml:space="preserve">Puntos de impacto</t>
  </si>
  <si>
    <t xml:space="preserve">Nota</t>
  </si>
  <si>
    <t xml:space="preserve">Total logrado en Alcance</t>
  </si>
  <si>
    <t xml:space="preserve">Contacto con la pieza</t>
  </si>
  <si>
    <t xml:space="preserve">Total logrado en Engagement</t>
  </si>
  <si>
    <t xml:space="preserve">Interaccion con la pieza</t>
  </si>
  <si>
    <t xml:space="preserve">Total logrado en Conversion</t>
  </si>
  <si>
    <t xml:space="preserve">Accion completada por el publico</t>
  </si>
  <si>
    <t xml:space="preserve">Valor de impacto total (puntos)</t>
  </si>
  <si>
    <t xml:space="preserve">Inversion total del proyecto</t>
  </si>
  <si>
    <t xml:space="preserve">Enlazado con la hoja 1</t>
  </si>
  <si>
    <t xml:space="preserve">IEC  =  Valor de impacto / Inversion total x 1.000</t>
  </si>
  <si>
    <t xml:space="preserve">puntos por cada 1.000 COP</t>
  </si>
  <si>
    <t xml:space="preserve">Lectura del indice: cada 1.000 pesos invertidos produjeron esa cantidad de puntos de impacto. Sirve para comparar entre piezas y entre periodos, no como cifra absoluta.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</si>
</sst>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[RED]&quot;-$&quot;#,##0"/>
    <numFmt numFmtId="166" formatCode="0"/>
    <numFmt numFmtId="167" formatCode="#,##0"/>
    <numFmt numFmtId="168" formatCode="0.00"/>
    <numFmt numFmtId="169" formatCode="0.0%"/>
    <numFmt numFmtId="170" formatCode="dd/mm"/>
    <numFmt numFmtId="171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Calibri"/>
      <family val="0"/>
      <charset val="1"/>
    </font>
    <font>
      <i val="true"/>
      <sz val="10"/>
      <color rgb="FF64748B"/>
      <name val="Calibri"/>
      <family val="0"/>
      <charset val="1"/>
    </font>
    <font>
      <b val="true"/>
      <sz val="10"/>
      <color rgb="FF64748B"/>
      <name val="Cambria"/>
      <family val="0"/>
      <charset val="1"/>
    </font>
    <font>
      <sz val="11"/>
      <color rgb="FF0F172A"/>
      <name val="Cambria"/>
      <family val="0"/>
      <charset val="1"/>
    </font>
    <font>
      <b val="true"/>
      <sz val="13"/>
      <color rgb="FF0F172A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0F172A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0EA5E9"/>
      <name val="Cambria"/>
      <family val="0"/>
      <charset val="1"/>
    </font>
    <font>
      <i val="true"/>
      <sz val="10"/>
      <color rgb="FFB45309"/>
      <name val="Calibri"/>
      <family val="0"/>
      <charset val="1"/>
    </font>
    <font>
      <i val="true"/>
      <sz val="9"/>
      <color rgb="FF5C6B7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F172A"/>
      <name val="Cambria"/>
      <family val="0"/>
      <charset val="1"/>
    </font>
    <font>
      <sz val="9"/>
      <color rgb="FF64748B"/>
      <name val="Cambria"/>
      <family val="0"/>
      <charset val="1"/>
    </font>
    <font>
      <b val="true"/>
      <sz val="11"/>
      <color rgb="FF0F172A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8"/>
      <color rgb="FF64748B"/>
      <name val="Cambria"/>
      <family val="0"/>
      <charset val="1"/>
    </font>
    <font>
      <b val="true"/>
      <sz val="8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0EA5E9"/>
      <name val="Cambria"/>
      <family val="0"/>
      <charset val="1"/>
    </font>
    <font>
      <i val="true"/>
      <sz val="9"/>
      <color rgb="FF64748B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sz val="9"/>
      <color rgb="FFFFFF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FFFFFF"/>
      </patternFill>
    </fill>
    <fill>
      <patternFill patternType="solid">
        <fgColor rgb="FF7DD3FC"/>
        <bgColor rgb="FFBAE6FD"/>
      </patternFill>
    </fill>
    <fill>
      <patternFill patternType="solid">
        <fgColor rgb="FF0EA5E9"/>
        <bgColor rgb="FF38BDF8"/>
      </patternFill>
    </fill>
    <fill>
      <patternFill patternType="solid">
        <fgColor rgb="FF38BDF8"/>
        <bgColor rgb="FF0EA5E9"/>
      </patternFill>
    </fill>
    <fill>
      <patternFill patternType="solid">
        <fgColor rgb="FF0369A1"/>
        <bgColor rgb="FF008080"/>
      </patternFill>
    </fill>
    <fill>
      <patternFill patternType="solid">
        <fgColor rgb="FFBAE6FD"/>
        <bgColor rgb="FFCBD5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4748B"/>
      <rgbColor rgb="FF9999FF"/>
      <rgbColor rgb="FF993366"/>
      <rgbColor rgb="FFF1F5F9"/>
      <rgbColor rgb="FFBAE6FD"/>
      <rgbColor rgb="FF660066"/>
      <rgbColor rgb="FFFF8080"/>
      <rgbColor rgb="FF0369A1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CCFFFF"/>
      <rgbColor rgb="FFCCFFCC"/>
      <rgbColor rgb="FFFFFF99"/>
      <rgbColor rgb="FF7DD3FC"/>
      <rgbColor rgb="FFFF99CC"/>
      <rgbColor rgb="FFCC99FF"/>
      <rgbColor rgb="FFFFCC99"/>
      <rgbColor rgb="FF3366FF"/>
      <rgbColor rgb="FF38BDF8"/>
      <rgbColor rgb="FF99CC00"/>
      <rgbColor rgb="FFFFCC00"/>
      <rgbColor rgb="FFFF9900"/>
      <rgbColor rgb="FFFF6600"/>
      <rgbColor rgb="FF5C6B7E"/>
      <rgbColor rgb="FF969696"/>
      <rgbColor rgb="FF003366"/>
      <rgbColor rgb="FF339966"/>
      <rgbColor rgb="FF0F172A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3" min="3" style="1" width="22"/>
  </cols>
  <sheetData>
    <row r="1" customFormat="false" ht="25.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/>
      <c r="B5" s="5" t="s">
        <v>4</v>
      </c>
    </row>
    <row r="6" customFormat="false" ht="15" hidden="false" customHeight="true" outlineLevel="0" collapsed="false">
      <c r="A6" s="4" t="s">
        <v>5</v>
      </c>
      <c r="B6" s="6" t="s">
        <v>6</v>
      </c>
    </row>
    <row r="7" customFormat="false" ht="15" hidden="false" customHeight="true" outlineLevel="0" collapsed="false">
      <c r="A7" s="4" t="s">
        <v>7</v>
      </c>
      <c r="B7" s="6" t="s">
        <v>8</v>
      </c>
    </row>
    <row r="8" customFormat="false" ht="15" hidden="false" customHeight="true" outlineLevel="0" collapsed="false">
      <c r="A8" s="4" t="s">
        <v>9</v>
      </c>
      <c r="B8" s="6" t="s">
        <v>10</v>
      </c>
    </row>
    <row r="9" customFormat="false" ht="15" hidden="false" customHeight="true" outlineLevel="0" collapsed="false">
      <c r="A9" s="4" t="s">
        <v>11</v>
      </c>
      <c r="B9" s="6" t="s">
        <v>12</v>
      </c>
    </row>
    <row r="10" customFormat="false" ht="15" hidden="false" customHeight="true" outlineLevel="0" collapsed="false">
      <c r="A10" s="4" t="s">
        <v>13</v>
      </c>
      <c r="B10" s="6" t="s">
        <v>14</v>
      </c>
    </row>
    <row r="11" customFormat="false" ht="15" hidden="false" customHeight="true" outlineLevel="0" collapsed="false">
      <c r="A11" s="4" t="s">
        <v>15</v>
      </c>
      <c r="B11" s="6" t="s">
        <v>16</v>
      </c>
    </row>
    <row r="12" customFormat="false" ht="15.75" hidden="false" customHeight="true" outlineLevel="0" collapsed="false"/>
    <row r="13" customFormat="false" ht="15" hidden="false" customHeight="true" outlineLevel="0" collapsed="false">
      <c r="A13" s="7" t="s">
        <v>17</v>
      </c>
    </row>
    <row r="14" customFormat="false" ht="15" hidden="false" customHeight="true" outlineLevel="0" collapsed="false">
      <c r="A14" s="8" t="s">
        <v>18</v>
      </c>
      <c r="B14" s="9" t="n">
        <f aca="false">'1. Presupuesto'!G11</f>
        <v>640000</v>
      </c>
    </row>
    <row r="15" customFormat="false" ht="15" hidden="false" customHeight="true" outlineLevel="0" collapsed="false">
      <c r="A15" s="8" t="s">
        <v>19</v>
      </c>
      <c r="B15" s="9" t="n">
        <f aca="false">'1. Presupuesto'!G22</f>
        <v>478000</v>
      </c>
    </row>
    <row r="16" customFormat="false" ht="15" hidden="false" customHeight="true" outlineLevel="0" collapsed="false">
      <c r="A16" s="10" t="s">
        <v>20</v>
      </c>
      <c r="B16" s="9" t="n">
        <f aca="false">'1. Presupuesto'!G24</f>
        <v>1118000</v>
      </c>
    </row>
    <row r="17" customFormat="false" ht="15" hidden="false" customHeight="true" outlineLevel="0" collapsed="false">
      <c r="A17" s="8" t="s">
        <v>21</v>
      </c>
      <c r="B17" s="11" t="n">
        <f aca="false">'2. Cronograma'!E17-'2. Cronograma'!D5+1</f>
        <v>20</v>
      </c>
    </row>
    <row r="18" customFormat="false" ht="15" hidden="false" customHeight="true" outlineLevel="0" collapsed="false">
      <c r="A18" s="8" t="s">
        <v>22</v>
      </c>
      <c r="B18" s="12" t="n">
        <f aca="false">'3. KPI e IEC'!E29</f>
        <v>5075</v>
      </c>
    </row>
    <row r="19" customFormat="false" ht="15" hidden="false" customHeight="true" outlineLevel="0" collapsed="false">
      <c r="A19" s="10" t="s">
        <v>23</v>
      </c>
      <c r="B19" s="13" t="n">
        <f aca="false">'3. KPI e IEC'!E33</f>
        <v>4.53935599284437</v>
      </c>
    </row>
    <row r="20" customFormat="false" ht="15" hidden="false" customHeight="true" outlineLevel="0" collapsed="false">
      <c r="A20" s="14"/>
      <c r="B20" s="14"/>
      <c r="C20" s="14"/>
    </row>
    <row r="21" customFormat="false" ht="34.5" hidden="false" customHeight="true" outlineLevel="0" collapsed="false">
      <c r="A21" s="15" t="s">
        <v>24</v>
      </c>
    </row>
    <row r="22" customFormat="false" ht="15" hidden="false" customHeight="true" outlineLevel="0" collapsed="false">
      <c r="A22" s="14"/>
      <c r="B22" s="14"/>
      <c r="C22" s="14"/>
    </row>
    <row r="23" customFormat="false" ht="45.75" hidden="false" customHeight="true" outlineLevel="0" collapsed="false">
      <c r="A23" s="16" t="s">
        <v>25</v>
      </c>
    </row>
    <row r="25" customFormat="false" ht="53.25" hidden="false" customHeight="true" outlineLevel="0" collapsed="false">
      <c r="A25" s="17" t="s">
        <v>26</v>
      </c>
    </row>
  </sheetData>
  <mergeCells count="4">
    <mergeCell ref="A1:C1"/>
    <mergeCell ref="A2:C2"/>
    <mergeCell ref="A20:C20"/>
    <mergeCell ref="A22:C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tru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6"/>
    <col collapsed="false" customWidth="true" hidden="false" outlineLevel="0" max="8" min="8" style="1" width="44"/>
  </cols>
  <sheetData>
    <row r="1" customFormat="false" ht="25.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28</v>
      </c>
      <c r="B2" s="3"/>
      <c r="C2" s="3"/>
      <c r="D2" s="3"/>
      <c r="E2" s="3"/>
      <c r="F2" s="3"/>
      <c r="G2" s="3"/>
      <c r="H2" s="3"/>
    </row>
    <row r="3" customFormat="false" ht="18" hidden="false" customHeight="true" outlineLevel="0" collapsed="false">
      <c r="A3" s="18" t="s">
        <v>29</v>
      </c>
      <c r="B3" s="18"/>
      <c r="C3" s="18"/>
      <c r="D3" s="18"/>
      <c r="E3" s="18"/>
      <c r="F3" s="18"/>
      <c r="G3" s="18"/>
      <c r="H3" s="18"/>
    </row>
    <row r="5" customFormat="false" ht="30" hidden="false" customHeight="true" outlineLevel="0" collapsed="false">
      <c r="A5" s="19" t="s">
        <v>30</v>
      </c>
      <c r="B5" s="19" t="s">
        <v>31</v>
      </c>
      <c r="C5" s="19" t="s">
        <v>32</v>
      </c>
      <c r="D5" s="19" t="s">
        <v>33</v>
      </c>
      <c r="E5" s="19" t="s">
        <v>34</v>
      </c>
      <c r="F5" s="19" t="s">
        <v>35</v>
      </c>
      <c r="G5" s="19" t="s">
        <v>36</v>
      </c>
      <c r="H5" s="19" t="s">
        <v>37</v>
      </c>
    </row>
    <row r="6" customFormat="false" ht="15" hidden="false" customHeight="true" outlineLevel="0" collapsed="false">
      <c r="A6" s="20" t="s">
        <v>38</v>
      </c>
      <c r="B6" s="21" t="s">
        <v>39</v>
      </c>
      <c r="C6" s="21" t="s">
        <v>40</v>
      </c>
      <c r="D6" s="22" t="n">
        <v>1</v>
      </c>
      <c r="E6" s="21" t="s">
        <v>41</v>
      </c>
      <c r="F6" s="23" t="n">
        <v>180000</v>
      </c>
      <c r="G6" s="23" t="n">
        <f aca="false">D6*F6</f>
        <v>180000</v>
      </c>
      <c r="H6" s="24" t="s">
        <v>42</v>
      </c>
    </row>
    <row r="7" customFormat="false" ht="15" hidden="false" customHeight="true" outlineLevel="0" collapsed="false">
      <c r="A7" s="25" t="s">
        <v>38</v>
      </c>
      <c r="B7" s="26" t="s">
        <v>39</v>
      </c>
      <c r="C7" s="26" t="s">
        <v>43</v>
      </c>
      <c r="D7" s="27" t="n">
        <v>1</v>
      </c>
      <c r="E7" s="26" t="s">
        <v>41</v>
      </c>
      <c r="F7" s="28" t="n">
        <v>150000</v>
      </c>
      <c r="G7" s="28" t="n">
        <f aca="false">D7*F7</f>
        <v>150000</v>
      </c>
      <c r="H7" s="29" t="s">
        <v>44</v>
      </c>
    </row>
    <row r="8" customFormat="false" ht="15" hidden="false" customHeight="true" outlineLevel="0" collapsed="false">
      <c r="A8" s="20" t="s">
        <v>38</v>
      </c>
      <c r="B8" s="21" t="s">
        <v>45</v>
      </c>
      <c r="C8" s="21" t="s">
        <v>46</v>
      </c>
      <c r="D8" s="22" t="n">
        <v>1</v>
      </c>
      <c r="E8" s="21" t="s">
        <v>41</v>
      </c>
      <c r="F8" s="23" t="n">
        <v>90000</v>
      </c>
      <c r="G8" s="23" t="n">
        <f aca="false">D8*F8</f>
        <v>90000</v>
      </c>
      <c r="H8" s="24" t="s">
        <v>47</v>
      </c>
    </row>
    <row r="9" customFormat="false" ht="15" hidden="false" customHeight="true" outlineLevel="0" collapsed="false">
      <c r="A9" s="25" t="s">
        <v>38</v>
      </c>
      <c r="B9" s="26" t="s">
        <v>48</v>
      </c>
      <c r="C9" s="26" t="s">
        <v>49</v>
      </c>
      <c r="D9" s="27" t="n">
        <v>1</v>
      </c>
      <c r="E9" s="26" t="s">
        <v>41</v>
      </c>
      <c r="F9" s="28" t="n">
        <v>70000</v>
      </c>
      <c r="G9" s="28" t="n">
        <f aca="false">D9*F9</f>
        <v>70000</v>
      </c>
      <c r="H9" s="29" t="s">
        <v>50</v>
      </c>
    </row>
    <row r="10" customFormat="false" ht="15" hidden="false" customHeight="true" outlineLevel="0" collapsed="false">
      <c r="A10" s="20" t="s">
        <v>38</v>
      </c>
      <c r="B10" s="21" t="s">
        <v>51</v>
      </c>
      <c r="C10" s="21" t="s">
        <v>52</v>
      </c>
      <c r="D10" s="22" t="n">
        <v>2</v>
      </c>
      <c r="E10" s="21" t="s">
        <v>53</v>
      </c>
      <c r="F10" s="23" t="n">
        <v>75000</v>
      </c>
      <c r="G10" s="23" t="n">
        <f aca="false">D10*F10</f>
        <v>150000</v>
      </c>
      <c r="H10" s="24" t="s">
        <v>54</v>
      </c>
    </row>
    <row r="11" customFormat="false" ht="15" hidden="false" customHeight="true" outlineLevel="0" collapsed="false">
      <c r="A11" s="30" t="s">
        <v>55</v>
      </c>
      <c r="B11" s="30"/>
      <c r="C11" s="30"/>
      <c r="D11" s="30"/>
      <c r="E11" s="30"/>
      <c r="F11" s="30"/>
      <c r="G11" s="31" t="n">
        <f aca="false">SUM(G6:G10)</f>
        <v>640000</v>
      </c>
      <c r="H11" s="26"/>
    </row>
    <row r="12" customFormat="false" ht="15" hidden="false" customHeight="true" outlineLevel="0" collapsed="false">
      <c r="A12" s="26"/>
      <c r="B12" s="26"/>
      <c r="C12" s="26"/>
      <c r="D12" s="26"/>
      <c r="E12" s="26"/>
      <c r="F12" s="26"/>
      <c r="G12" s="26"/>
      <c r="H12" s="26"/>
    </row>
    <row r="13" customFormat="false" ht="15" hidden="false" customHeight="true" outlineLevel="0" collapsed="false">
      <c r="A13" s="32" t="s">
        <v>56</v>
      </c>
      <c r="B13" s="26" t="s">
        <v>57</v>
      </c>
      <c r="C13" s="26" t="s">
        <v>58</v>
      </c>
      <c r="D13" s="27" t="n">
        <v>2</v>
      </c>
      <c r="E13" s="26" t="s">
        <v>53</v>
      </c>
      <c r="F13" s="28" t="n">
        <v>60000</v>
      </c>
      <c r="G13" s="28" t="n">
        <f aca="false">D13*F13</f>
        <v>120000</v>
      </c>
      <c r="H13" s="29" t="s">
        <v>59</v>
      </c>
    </row>
    <row r="14" customFormat="false" ht="15" hidden="false" customHeight="true" outlineLevel="0" collapsed="false">
      <c r="A14" s="33" t="s">
        <v>56</v>
      </c>
      <c r="B14" s="21" t="s">
        <v>57</v>
      </c>
      <c r="C14" s="21" t="s">
        <v>60</v>
      </c>
      <c r="D14" s="22" t="n">
        <v>2</v>
      </c>
      <c r="E14" s="21" t="s">
        <v>53</v>
      </c>
      <c r="F14" s="23" t="n">
        <v>85000</v>
      </c>
      <c r="G14" s="23" t="n">
        <f aca="false">D14*F14</f>
        <v>170000</v>
      </c>
      <c r="H14" s="24" t="s">
        <v>61</v>
      </c>
    </row>
    <row r="15" customFormat="false" ht="15" hidden="false" customHeight="true" outlineLevel="0" collapsed="false">
      <c r="A15" s="32" t="s">
        <v>56</v>
      </c>
      <c r="B15" s="26" t="s">
        <v>62</v>
      </c>
      <c r="C15" s="26" t="s">
        <v>63</v>
      </c>
      <c r="D15" s="27" t="n">
        <v>20</v>
      </c>
      <c r="E15" s="26" t="s">
        <v>64</v>
      </c>
      <c r="F15" s="28" t="n">
        <v>2900</v>
      </c>
      <c r="G15" s="28" t="n">
        <f aca="false">D15*F15</f>
        <v>58000</v>
      </c>
      <c r="H15" s="29" t="s">
        <v>65</v>
      </c>
    </row>
    <row r="16" customFormat="false" ht="15" hidden="false" customHeight="true" outlineLevel="0" collapsed="false">
      <c r="A16" s="33" t="s">
        <v>56</v>
      </c>
      <c r="B16" s="21" t="s">
        <v>66</v>
      </c>
      <c r="C16" s="21" t="s">
        <v>67</v>
      </c>
      <c r="D16" s="22" t="n">
        <v>6</v>
      </c>
      <c r="E16" s="21" t="s">
        <v>68</v>
      </c>
      <c r="F16" s="23" t="n">
        <v>15000</v>
      </c>
      <c r="G16" s="23" t="n">
        <f aca="false">D16*F16</f>
        <v>90000</v>
      </c>
      <c r="H16" s="24" t="s">
        <v>69</v>
      </c>
    </row>
    <row r="17" customFormat="false" ht="15" hidden="false" customHeight="true" outlineLevel="0" collapsed="false">
      <c r="A17" s="32" t="s">
        <v>56</v>
      </c>
      <c r="B17" s="26" t="s">
        <v>70</v>
      </c>
      <c r="C17" s="26" t="s">
        <v>71</v>
      </c>
      <c r="D17" s="27" t="n">
        <v>1</v>
      </c>
      <c r="E17" s="26" t="s">
        <v>72</v>
      </c>
      <c r="F17" s="28" t="n">
        <v>25000</v>
      </c>
      <c r="G17" s="28" t="n">
        <f aca="false">D17*F17</f>
        <v>25000</v>
      </c>
      <c r="H17" s="29" t="s">
        <v>73</v>
      </c>
    </row>
    <row r="18" customFormat="false" ht="15" hidden="false" customHeight="true" outlineLevel="0" collapsed="false">
      <c r="A18" s="33" t="s">
        <v>56</v>
      </c>
      <c r="B18" s="21" t="s">
        <v>74</v>
      </c>
      <c r="C18" s="21" t="s">
        <v>75</v>
      </c>
      <c r="D18" s="22" t="n">
        <v>2</v>
      </c>
      <c r="E18" s="21" t="s">
        <v>53</v>
      </c>
      <c r="F18" s="23" t="n">
        <v>7500</v>
      </c>
      <c r="G18" s="23" t="n">
        <f aca="false">D18*F18</f>
        <v>15000</v>
      </c>
      <c r="H18" s="24" t="s">
        <v>76</v>
      </c>
    </row>
    <row r="19" customFormat="false" ht="15" hidden="false" customHeight="true" outlineLevel="0" collapsed="false">
      <c r="A19" s="32" t="s">
        <v>56</v>
      </c>
      <c r="B19" s="26" t="s">
        <v>74</v>
      </c>
      <c r="C19" s="26" t="s">
        <v>77</v>
      </c>
      <c r="D19" s="27" t="n">
        <v>2</v>
      </c>
      <c r="E19" s="26" t="s">
        <v>53</v>
      </c>
      <c r="F19" s="28" t="n">
        <v>0</v>
      </c>
      <c r="G19" s="28" t="n">
        <f aca="false">D19*F19</f>
        <v>0</v>
      </c>
      <c r="H19" s="29" t="s">
        <v>78</v>
      </c>
    </row>
    <row r="20" customFormat="false" ht="15" hidden="false" customHeight="true" outlineLevel="0" collapsed="false">
      <c r="A20" s="33" t="s">
        <v>56</v>
      </c>
      <c r="B20" s="21" t="s">
        <v>74</v>
      </c>
      <c r="C20" s="21" t="s">
        <v>79</v>
      </c>
      <c r="D20" s="22" t="n">
        <v>2</v>
      </c>
      <c r="E20" s="21" t="s">
        <v>53</v>
      </c>
      <c r="F20" s="23" t="n">
        <v>0</v>
      </c>
      <c r="G20" s="23" t="n">
        <f aca="false">D20*F20</f>
        <v>0</v>
      </c>
      <c r="H20" s="24" t="s">
        <v>80</v>
      </c>
    </row>
    <row r="21" customFormat="false" ht="15" hidden="false" customHeight="true" outlineLevel="0" collapsed="false">
      <c r="A21" s="32" t="s">
        <v>56</v>
      </c>
      <c r="B21" s="26" t="s">
        <v>81</v>
      </c>
      <c r="C21" s="26" t="s">
        <v>82</v>
      </c>
      <c r="D21" s="27" t="n">
        <v>1</v>
      </c>
      <c r="E21" s="26" t="s">
        <v>72</v>
      </c>
      <c r="F21" s="28" t="n">
        <v>0</v>
      </c>
      <c r="G21" s="28" t="n">
        <f aca="false">D21*F21</f>
        <v>0</v>
      </c>
      <c r="H21" s="29" t="s">
        <v>83</v>
      </c>
    </row>
    <row r="22" customFormat="false" ht="15" hidden="false" customHeight="true" outlineLevel="0" collapsed="false">
      <c r="A22" s="30" t="s">
        <v>84</v>
      </c>
      <c r="B22" s="30"/>
      <c r="C22" s="30"/>
      <c r="D22" s="30"/>
      <c r="E22" s="30"/>
      <c r="F22" s="30"/>
      <c r="G22" s="31" t="n">
        <f aca="false">SUM(G13:G21)</f>
        <v>478000</v>
      </c>
      <c r="H22" s="26"/>
    </row>
    <row r="23" customFormat="false" ht="15" hidden="false" customHeight="true" outlineLevel="0" collapsed="false">
      <c r="A23" s="26"/>
      <c r="B23" s="26"/>
      <c r="C23" s="26"/>
      <c r="D23" s="26"/>
      <c r="E23" s="26"/>
      <c r="F23" s="26"/>
      <c r="G23" s="26"/>
      <c r="H23" s="26"/>
    </row>
    <row r="24" customFormat="false" ht="24" hidden="false" customHeight="true" outlineLevel="0" collapsed="false">
      <c r="A24" s="34" t="s">
        <v>85</v>
      </c>
      <c r="B24" s="34"/>
      <c r="C24" s="34"/>
      <c r="D24" s="34"/>
      <c r="E24" s="34"/>
      <c r="F24" s="34"/>
      <c r="G24" s="35" t="n">
        <f aca="false">G11+G22</f>
        <v>1118000</v>
      </c>
      <c r="H24" s="26"/>
    </row>
    <row r="26" customFormat="false" ht="15" hidden="false" customHeight="true" outlineLevel="0" collapsed="false">
      <c r="A26" s="36" t="s">
        <v>86</v>
      </c>
    </row>
    <row r="27" customFormat="false" ht="15" hidden="false" customHeight="true" outlineLevel="0" collapsed="false">
      <c r="A27" s="1" t="s">
        <v>38</v>
      </c>
      <c r="B27" s="37" t="n">
        <f aca="false">G11/G24</f>
        <v>0.572450805008945</v>
      </c>
    </row>
    <row r="28" customFormat="false" ht="15" hidden="false" customHeight="true" outlineLevel="0" collapsed="false">
      <c r="A28" s="1" t="s">
        <v>56</v>
      </c>
      <c r="B28" s="37" t="n">
        <f aca="false">G22/G24</f>
        <v>0.427549194991056</v>
      </c>
    </row>
  </sheetData>
  <mergeCells count="6">
    <mergeCell ref="A1:H1"/>
    <mergeCell ref="A2:H2"/>
    <mergeCell ref="A3:H3"/>
    <mergeCell ref="A11:F11"/>
    <mergeCell ref="A22:F22"/>
    <mergeCell ref="A24:F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true"/>
  </sheetPr>
  <dimension ref="A1:A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5" min="4" style="1" width="11"/>
    <col collapsed="false" customWidth="true" hidden="false" outlineLevel="0" max="6" min="6" style="1" width="8"/>
    <col collapsed="false" customWidth="true" hidden="false" outlineLevel="0" max="34" min="7" style="1" width="3.4"/>
  </cols>
  <sheetData>
    <row r="1" customFormat="false" ht="25.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customFormat="false" ht="15" hidden="false" customHeight="true" outlineLevel="0" collapsed="false">
      <c r="A2" s="3" t="s">
        <v>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customFormat="false" ht="15" hidden="false" customHeight="true" outlineLevel="0" collapsed="false">
      <c r="G3" s="38" t="s">
        <v>89</v>
      </c>
      <c r="P3" s="38"/>
    </row>
    <row r="4" customFormat="false" ht="30" hidden="false" customHeight="true" outlineLevel="0" collapsed="false">
      <c r="A4" s="19" t="s">
        <v>90</v>
      </c>
      <c r="B4" s="19" t="s">
        <v>91</v>
      </c>
      <c r="C4" s="19" t="s">
        <v>92</v>
      </c>
      <c r="D4" s="19" t="s">
        <v>93</v>
      </c>
      <c r="E4" s="19" t="s">
        <v>94</v>
      </c>
      <c r="F4" s="19" t="s">
        <v>95</v>
      </c>
      <c r="G4" s="39" t="n">
        <v>1</v>
      </c>
      <c r="H4" s="39" t="n">
        <v>2</v>
      </c>
      <c r="I4" s="39" t="n">
        <v>3</v>
      </c>
      <c r="J4" s="39" t="n">
        <v>4</v>
      </c>
      <c r="K4" s="39" t="n">
        <v>5</v>
      </c>
      <c r="L4" s="39" t="n">
        <v>6</v>
      </c>
      <c r="M4" s="39" t="n">
        <v>7</v>
      </c>
      <c r="N4" s="39" t="n">
        <v>8</v>
      </c>
      <c r="O4" s="39" t="n">
        <v>9</v>
      </c>
      <c r="P4" s="39" t="n">
        <v>10</v>
      </c>
      <c r="Q4" s="39" t="n">
        <v>11</v>
      </c>
      <c r="R4" s="39" t="n">
        <v>12</v>
      </c>
      <c r="S4" s="39" t="n">
        <v>13</v>
      </c>
      <c r="T4" s="39" t="n">
        <v>14</v>
      </c>
      <c r="U4" s="39" t="n">
        <v>15</v>
      </c>
      <c r="V4" s="39" t="n">
        <v>16</v>
      </c>
      <c r="W4" s="39" t="n">
        <v>17</v>
      </c>
      <c r="X4" s="39" t="n">
        <v>18</v>
      </c>
      <c r="Y4" s="39" t="n">
        <v>19</v>
      </c>
      <c r="Z4" s="39" t="n">
        <v>20</v>
      </c>
      <c r="AA4" s="39"/>
      <c r="AB4" s="39"/>
      <c r="AC4" s="39"/>
      <c r="AD4" s="39"/>
      <c r="AE4" s="39"/>
      <c r="AF4" s="39"/>
      <c r="AG4" s="39"/>
      <c r="AH4" s="39"/>
    </row>
    <row r="5" customFormat="false" ht="15" hidden="false" customHeight="true" outlineLevel="0" collapsed="false">
      <c r="A5" s="25" t="s">
        <v>96</v>
      </c>
      <c r="B5" s="40" t="s">
        <v>97</v>
      </c>
      <c r="C5" s="41" t="s">
        <v>98</v>
      </c>
      <c r="D5" s="42" t="n">
        <v>46266</v>
      </c>
      <c r="E5" s="42" t="n">
        <v>46267</v>
      </c>
      <c r="F5" s="27" t="n">
        <f aca="false">E5-D5+1</f>
        <v>2</v>
      </c>
      <c r="G5" s="43"/>
      <c r="H5" s="43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 customFormat="false" ht="15" hidden="false" customHeight="true" outlineLevel="0" collapsed="false">
      <c r="A6" s="25"/>
      <c r="B6" s="40" t="s">
        <v>99</v>
      </c>
      <c r="C6" s="41" t="s">
        <v>98</v>
      </c>
      <c r="D6" s="42" t="n">
        <v>46267</v>
      </c>
      <c r="E6" s="42" t="n">
        <v>46270</v>
      </c>
      <c r="F6" s="27" t="n">
        <f aca="false">E6-D6+1</f>
        <v>4</v>
      </c>
      <c r="G6" s="26"/>
      <c r="H6" s="43"/>
      <c r="I6" s="43"/>
      <c r="J6" s="43"/>
      <c r="K6" s="43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 customFormat="false" ht="15" hidden="false" customHeight="true" outlineLevel="0" collapsed="false">
      <c r="A7" s="25"/>
      <c r="B7" s="40" t="s">
        <v>100</v>
      </c>
      <c r="C7" s="41" t="s">
        <v>98</v>
      </c>
      <c r="D7" s="42" t="n">
        <v>46269</v>
      </c>
      <c r="E7" s="42" t="n">
        <v>46273</v>
      </c>
      <c r="F7" s="27" t="n">
        <f aca="false">E7-D7+1</f>
        <v>5</v>
      </c>
      <c r="G7" s="26"/>
      <c r="H7" s="26"/>
      <c r="I7" s="26"/>
      <c r="J7" s="43"/>
      <c r="K7" s="43"/>
      <c r="L7" s="43"/>
      <c r="M7" s="43"/>
      <c r="N7" s="43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customFormat="false" ht="15" hidden="false" customHeight="true" outlineLevel="0" collapsed="false">
      <c r="A8" s="25"/>
      <c r="B8" s="40" t="s">
        <v>101</v>
      </c>
      <c r="C8" s="41" t="s">
        <v>98</v>
      </c>
      <c r="D8" s="42" t="n">
        <v>46272</v>
      </c>
      <c r="E8" s="42" t="n">
        <v>46273</v>
      </c>
      <c r="F8" s="27" t="n">
        <f aca="false">E8-D8+1</f>
        <v>2</v>
      </c>
      <c r="G8" s="26"/>
      <c r="H8" s="26"/>
      <c r="I8" s="26"/>
      <c r="J8" s="26"/>
      <c r="K8" s="26"/>
      <c r="L8" s="26"/>
      <c r="M8" s="43"/>
      <c r="N8" s="43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customFormat="false" ht="15" hidden="false" customHeight="true" outlineLevel="0" collapsed="false">
      <c r="A9" s="25" t="s">
        <v>102</v>
      </c>
      <c r="B9" s="40" t="s">
        <v>103</v>
      </c>
      <c r="C9" s="41" t="s">
        <v>104</v>
      </c>
      <c r="D9" s="42" t="n">
        <v>46270</v>
      </c>
      <c r="E9" s="42" t="n">
        <v>46274</v>
      </c>
      <c r="F9" s="27" t="n">
        <f aca="false">E9-D9+1</f>
        <v>5</v>
      </c>
      <c r="G9" s="26"/>
      <c r="H9" s="26"/>
      <c r="I9" s="26"/>
      <c r="J9" s="26"/>
      <c r="K9" s="44"/>
      <c r="L9" s="44"/>
      <c r="M9" s="44"/>
      <c r="N9" s="44"/>
      <c r="O9" s="44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customFormat="false" ht="15" hidden="false" customHeight="true" outlineLevel="0" collapsed="false">
      <c r="A10" s="25"/>
      <c r="B10" s="40" t="s">
        <v>105</v>
      </c>
      <c r="C10" s="41" t="s">
        <v>104</v>
      </c>
      <c r="D10" s="42" t="n">
        <v>46273</v>
      </c>
      <c r="E10" s="42" t="n">
        <v>46275</v>
      </c>
      <c r="F10" s="27" t="n">
        <f aca="false">E10-D10+1</f>
        <v>3</v>
      </c>
      <c r="G10" s="26"/>
      <c r="H10" s="26"/>
      <c r="I10" s="26"/>
      <c r="J10" s="26"/>
      <c r="K10" s="26"/>
      <c r="L10" s="26"/>
      <c r="M10" s="26"/>
      <c r="N10" s="44"/>
      <c r="O10" s="44"/>
      <c r="P10" s="44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customFormat="false" ht="15" hidden="false" customHeight="true" outlineLevel="0" collapsed="false">
      <c r="A11" s="25" t="s">
        <v>106</v>
      </c>
      <c r="B11" s="40" t="s">
        <v>107</v>
      </c>
      <c r="C11" s="41" t="s">
        <v>108</v>
      </c>
      <c r="D11" s="42" t="n">
        <v>46274</v>
      </c>
      <c r="E11" s="42" t="n">
        <v>46275</v>
      </c>
      <c r="F11" s="27" t="n">
        <f aca="false">E11-D11+1</f>
        <v>2</v>
      </c>
      <c r="G11" s="26"/>
      <c r="H11" s="26"/>
      <c r="I11" s="26"/>
      <c r="J11" s="26"/>
      <c r="K11" s="26"/>
      <c r="L11" s="26"/>
      <c r="M11" s="26"/>
      <c r="N11" s="26"/>
      <c r="O11" s="45"/>
      <c r="P11" s="45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customFormat="false" ht="15" hidden="false" customHeight="true" outlineLevel="0" collapsed="false">
      <c r="A12" s="25"/>
      <c r="B12" s="40" t="s">
        <v>109</v>
      </c>
      <c r="C12" s="41" t="s">
        <v>108</v>
      </c>
      <c r="D12" s="42" t="n">
        <v>46276</v>
      </c>
      <c r="E12" s="42" t="n">
        <v>46277</v>
      </c>
      <c r="F12" s="27" t="n">
        <f aca="false">E12-D12+1</f>
        <v>2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45"/>
      <c r="R12" s="45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customFormat="false" ht="15" hidden="false" customHeight="true" outlineLevel="0" collapsed="false">
      <c r="A13" s="25" t="s">
        <v>81</v>
      </c>
      <c r="B13" s="40" t="s">
        <v>110</v>
      </c>
      <c r="C13" s="41" t="s">
        <v>104</v>
      </c>
      <c r="D13" s="42" t="n">
        <v>46274</v>
      </c>
      <c r="E13" s="42" t="n">
        <v>46278</v>
      </c>
      <c r="F13" s="27" t="n">
        <f aca="false">E13-D13+1</f>
        <v>5</v>
      </c>
      <c r="G13" s="26"/>
      <c r="H13" s="26"/>
      <c r="I13" s="26"/>
      <c r="J13" s="26"/>
      <c r="K13" s="26"/>
      <c r="L13" s="26"/>
      <c r="M13" s="26"/>
      <c r="N13" s="26"/>
      <c r="O13" s="46"/>
      <c r="P13" s="46"/>
      <c r="Q13" s="46"/>
      <c r="R13" s="46"/>
      <c r="S13" s="4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customFormat="false" ht="15" hidden="false" customHeight="true" outlineLevel="0" collapsed="false">
      <c r="A14" s="25"/>
      <c r="B14" s="40" t="s">
        <v>111</v>
      </c>
      <c r="C14" s="41" t="s">
        <v>108</v>
      </c>
      <c r="D14" s="42" t="n">
        <v>46277</v>
      </c>
      <c r="E14" s="42" t="n">
        <v>46278</v>
      </c>
      <c r="F14" s="27" t="n">
        <f aca="false">E14-D14+1</f>
        <v>2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46"/>
      <c r="S14" s="4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customFormat="false" ht="15" hidden="false" customHeight="true" outlineLevel="0" collapsed="false">
      <c r="A15" s="25"/>
      <c r="B15" s="40" t="s">
        <v>112</v>
      </c>
      <c r="C15" s="41" t="s">
        <v>98</v>
      </c>
      <c r="D15" s="42" t="n">
        <v>46278</v>
      </c>
      <c r="E15" s="42" t="n">
        <v>46278</v>
      </c>
      <c r="F15" s="27" t="n">
        <f aca="false">E15-D15+1</f>
        <v>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4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customFormat="false" ht="15" hidden="false" customHeight="true" outlineLevel="0" collapsed="false">
      <c r="A16" s="25" t="s">
        <v>113</v>
      </c>
      <c r="B16" s="40" t="s">
        <v>114</v>
      </c>
      <c r="C16" s="41" t="s">
        <v>98</v>
      </c>
      <c r="D16" s="42" t="n">
        <v>46278</v>
      </c>
      <c r="E16" s="42" t="n">
        <v>46285</v>
      </c>
      <c r="F16" s="27" t="n">
        <f aca="false">E16-D16+1</f>
        <v>8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47"/>
      <c r="T16" s="47"/>
      <c r="U16" s="47"/>
      <c r="V16" s="47"/>
      <c r="W16" s="47"/>
      <c r="X16" s="47"/>
      <c r="Y16" s="47"/>
      <c r="Z16" s="47"/>
      <c r="AA16" s="26"/>
      <c r="AB16" s="26"/>
      <c r="AC16" s="26"/>
      <c r="AD16" s="26"/>
      <c r="AE16" s="26"/>
      <c r="AF16" s="26"/>
      <c r="AG16" s="26"/>
      <c r="AH16" s="26"/>
    </row>
    <row r="17" customFormat="false" ht="15" hidden="false" customHeight="true" outlineLevel="0" collapsed="false">
      <c r="A17" s="25"/>
      <c r="B17" s="40" t="s">
        <v>115</v>
      </c>
      <c r="C17" s="41" t="s">
        <v>98</v>
      </c>
      <c r="D17" s="42" t="n">
        <v>46283</v>
      </c>
      <c r="E17" s="42" t="n">
        <v>46285</v>
      </c>
      <c r="F17" s="27" t="n">
        <f aca="false">E17-D17+1</f>
        <v>3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47"/>
      <c r="Y17" s="47"/>
      <c r="Z17" s="47"/>
      <c r="AA17" s="26"/>
      <c r="AB17" s="26"/>
      <c r="AC17" s="26"/>
      <c r="AD17" s="26"/>
      <c r="AE17" s="26"/>
      <c r="AF17" s="26"/>
      <c r="AG17" s="26"/>
      <c r="AH17" s="26"/>
    </row>
    <row r="19" customFormat="false" ht="15" hidden="false" customHeight="true" outlineLevel="0" collapsed="false">
      <c r="A19" s="36" t="s">
        <v>116</v>
      </c>
    </row>
    <row r="20" customFormat="false" ht="15" hidden="false" customHeight="true" outlineLevel="0" collapsed="false">
      <c r="A20" s="48"/>
      <c r="B20" s="49" t="s">
        <v>96</v>
      </c>
    </row>
    <row r="21" customFormat="false" ht="15" hidden="false" customHeight="true" outlineLevel="0" collapsed="false">
      <c r="A21" s="50"/>
      <c r="B21" s="49" t="s">
        <v>102</v>
      </c>
    </row>
    <row r="22" customFormat="false" ht="15" hidden="false" customHeight="true" outlineLevel="0" collapsed="false">
      <c r="A22" s="51"/>
      <c r="B22" s="49" t="s">
        <v>106</v>
      </c>
    </row>
    <row r="23" customFormat="false" ht="15" hidden="false" customHeight="true" outlineLevel="0" collapsed="false">
      <c r="A23" s="52"/>
      <c r="B23" s="49" t="s">
        <v>81</v>
      </c>
    </row>
    <row r="24" customFormat="false" ht="15" hidden="false" customHeight="true" outlineLevel="0" collapsed="false">
      <c r="A24" s="53"/>
      <c r="B24" s="49" t="s">
        <v>113</v>
      </c>
    </row>
  </sheetData>
  <mergeCells count="2">
    <mergeCell ref="A1:AH1"/>
    <mergeCell ref="A2:A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tru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28"/>
  </cols>
  <sheetData>
    <row r="1" customFormat="false" ht="25.5" hidden="false" customHeight="true" outlineLevel="0" collapsed="false">
      <c r="A1" s="2" t="s">
        <v>117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118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18" t="s">
        <v>119</v>
      </c>
      <c r="B3" s="18"/>
      <c r="C3" s="18"/>
      <c r="D3" s="18"/>
      <c r="E3" s="18"/>
      <c r="F3" s="18"/>
    </row>
    <row r="5" customFormat="false" ht="30" hidden="false" customHeight="true" outlineLevel="0" collapsed="false">
      <c r="A5" s="19" t="s">
        <v>120</v>
      </c>
      <c r="B5" s="19" t="s">
        <v>121</v>
      </c>
      <c r="C5" s="19" t="s">
        <v>122</v>
      </c>
      <c r="D5" s="19" t="s">
        <v>123</v>
      </c>
      <c r="E5" s="19" t="s">
        <v>124</v>
      </c>
      <c r="F5" s="19" t="s">
        <v>125</v>
      </c>
    </row>
    <row r="6" customFormat="false" ht="15" hidden="false" customHeight="true" outlineLevel="0" collapsed="false">
      <c r="A6" s="54" t="s">
        <v>126</v>
      </c>
      <c r="B6" s="21" t="s">
        <v>127</v>
      </c>
      <c r="C6" s="22" t="n">
        <v>400</v>
      </c>
      <c r="D6" s="22" t="n">
        <v>312</v>
      </c>
      <c r="E6" s="55" t="n">
        <f aca="false">IFERROR(D6/C6,0)</f>
        <v>0.78</v>
      </c>
      <c r="F6" s="56" t="s">
        <v>128</v>
      </c>
    </row>
    <row r="7" customFormat="false" ht="15" hidden="false" customHeight="true" outlineLevel="0" collapsed="false">
      <c r="A7" s="57"/>
      <c r="B7" s="26" t="s">
        <v>129</v>
      </c>
      <c r="C7" s="27" t="n">
        <v>150</v>
      </c>
      <c r="D7" s="27" t="n">
        <v>118</v>
      </c>
      <c r="E7" s="58" t="n">
        <f aca="false">IFERROR(D7/C7,0)</f>
        <v>0.786666666666667</v>
      </c>
      <c r="F7" s="41" t="s">
        <v>130</v>
      </c>
    </row>
    <row r="8" customFormat="false" ht="15" hidden="false" customHeight="true" outlineLevel="0" collapsed="false">
      <c r="A8" s="54"/>
      <c r="B8" s="21" t="s">
        <v>131</v>
      </c>
      <c r="C8" s="22" t="n">
        <v>600</v>
      </c>
      <c r="D8" s="22" t="n">
        <v>540</v>
      </c>
      <c r="E8" s="55" t="n">
        <f aca="false">IFERROR(D8/C8,0)</f>
        <v>0.9</v>
      </c>
      <c r="F8" s="56" t="s">
        <v>132</v>
      </c>
    </row>
    <row r="9" customFormat="false" ht="15" hidden="false" customHeight="true" outlineLevel="0" collapsed="false">
      <c r="A9" s="26"/>
      <c r="B9" s="59" t="s">
        <v>133</v>
      </c>
      <c r="C9" s="60" t="n">
        <f aca="false">SUM(C6:C8)</f>
        <v>1150</v>
      </c>
      <c r="D9" s="60" t="n">
        <f aca="false">SUM(D6:D8)</f>
        <v>970</v>
      </c>
      <c r="E9" s="61" t="n">
        <f aca="false">IFERROR(D9/C9,0)</f>
        <v>0.843478260869565</v>
      </c>
      <c r="F9" s="26"/>
    </row>
    <row r="10" customFormat="false" ht="15" hidden="false" customHeight="true" outlineLevel="0" collapsed="false">
      <c r="A10" s="26"/>
      <c r="B10" s="26"/>
      <c r="C10" s="26"/>
      <c r="D10" s="26"/>
      <c r="E10" s="26"/>
      <c r="F10" s="26"/>
    </row>
    <row r="11" customFormat="false" ht="15" hidden="false" customHeight="true" outlineLevel="0" collapsed="false">
      <c r="A11" s="57" t="s">
        <v>134</v>
      </c>
      <c r="B11" s="26" t="s">
        <v>135</v>
      </c>
      <c r="C11" s="27" t="n">
        <v>300</v>
      </c>
      <c r="D11" s="27" t="n">
        <v>268</v>
      </c>
      <c r="E11" s="58" t="n">
        <f aca="false">IFERROR(D11/C11,0)</f>
        <v>0.893333333333333</v>
      </c>
      <c r="F11" s="41" t="s">
        <v>136</v>
      </c>
    </row>
    <row r="12" customFormat="false" ht="15" hidden="false" customHeight="true" outlineLevel="0" collapsed="false">
      <c r="A12" s="54"/>
      <c r="B12" s="21" t="s">
        <v>137</v>
      </c>
      <c r="C12" s="22" t="n">
        <v>120</v>
      </c>
      <c r="D12" s="22" t="n">
        <v>94</v>
      </c>
      <c r="E12" s="55" t="n">
        <f aca="false">IFERROR(D12/C12,0)</f>
        <v>0.783333333333333</v>
      </c>
      <c r="F12" s="56" t="s">
        <v>138</v>
      </c>
    </row>
    <row r="13" customFormat="false" ht="15" hidden="false" customHeight="true" outlineLevel="0" collapsed="false">
      <c r="A13" s="57"/>
      <c r="B13" s="26" t="s">
        <v>139</v>
      </c>
      <c r="C13" s="27" t="n">
        <v>90</v>
      </c>
      <c r="D13" s="27" t="n">
        <v>71</v>
      </c>
      <c r="E13" s="58" t="n">
        <f aca="false">IFERROR(D13/C13,0)</f>
        <v>0.788888888888889</v>
      </c>
      <c r="F13" s="41" t="s">
        <v>130</v>
      </c>
    </row>
    <row r="14" customFormat="false" ht="15" hidden="false" customHeight="true" outlineLevel="0" collapsed="false">
      <c r="A14" s="26"/>
      <c r="B14" s="59" t="s">
        <v>140</v>
      </c>
      <c r="C14" s="60" t="n">
        <f aca="false">SUM(C11:C13)</f>
        <v>510</v>
      </c>
      <c r="D14" s="60" t="n">
        <f aca="false">SUM(D11:D13)</f>
        <v>433</v>
      </c>
      <c r="E14" s="61" t="n">
        <f aca="false">IFERROR(D14/C14,0)</f>
        <v>0.849019607843137</v>
      </c>
      <c r="F14" s="26"/>
    </row>
    <row r="15" customFormat="false" ht="15" hidden="false" customHeight="true" outlineLevel="0" collapsed="false">
      <c r="A15" s="26"/>
      <c r="B15" s="26"/>
      <c r="C15" s="26"/>
      <c r="D15" s="26"/>
      <c r="E15" s="26"/>
      <c r="F15" s="26"/>
    </row>
    <row r="16" customFormat="false" ht="15" hidden="false" customHeight="true" outlineLevel="0" collapsed="false">
      <c r="A16" s="54" t="s">
        <v>141</v>
      </c>
      <c r="B16" s="21" t="s">
        <v>142</v>
      </c>
      <c r="C16" s="22" t="n">
        <v>40</v>
      </c>
      <c r="D16" s="22" t="n">
        <v>31</v>
      </c>
      <c r="E16" s="55" t="n">
        <f aca="false">IFERROR(D16/C16,0)</f>
        <v>0.775</v>
      </c>
      <c r="F16" s="56" t="s">
        <v>138</v>
      </c>
    </row>
    <row r="17" customFormat="false" ht="15" hidden="false" customHeight="true" outlineLevel="0" collapsed="false">
      <c r="A17" s="57"/>
      <c r="B17" s="26" t="s">
        <v>143</v>
      </c>
      <c r="C17" s="27" t="n">
        <v>25</v>
      </c>
      <c r="D17" s="27" t="n">
        <v>19</v>
      </c>
      <c r="E17" s="58" t="n">
        <f aca="false">IFERROR(D17/C17,0)</f>
        <v>0.76</v>
      </c>
      <c r="F17" s="41" t="s">
        <v>136</v>
      </c>
    </row>
    <row r="18" customFormat="false" ht="15" hidden="false" customHeight="true" outlineLevel="0" collapsed="false">
      <c r="A18" s="54"/>
      <c r="B18" s="21" t="s">
        <v>144</v>
      </c>
      <c r="C18" s="22" t="n">
        <v>60</v>
      </c>
      <c r="D18" s="22" t="n">
        <v>47</v>
      </c>
      <c r="E18" s="55" t="n">
        <f aca="false">IFERROR(D18/C18,0)</f>
        <v>0.783333333333333</v>
      </c>
      <c r="F18" s="56" t="s">
        <v>130</v>
      </c>
    </row>
    <row r="19" customFormat="false" ht="15" hidden="false" customHeight="true" outlineLevel="0" collapsed="false">
      <c r="A19" s="26"/>
      <c r="B19" s="59" t="s">
        <v>145</v>
      </c>
      <c r="C19" s="60" t="n">
        <f aca="false">SUM(C16:C18)</f>
        <v>125</v>
      </c>
      <c r="D19" s="60" t="n">
        <f aca="false">SUM(D16:D18)</f>
        <v>97</v>
      </c>
      <c r="E19" s="61" t="n">
        <f aca="false">IFERROR(D19/C19,0)</f>
        <v>0.776</v>
      </c>
      <c r="F19" s="26"/>
    </row>
    <row r="22" customFormat="false" ht="25.5" hidden="false" customHeight="true" outlineLevel="0" collapsed="false">
      <c r="A22" s="2" t="s">
        <v>146</v>
      </c>
      <c r="B22" s="2"/>
      <c r="C22" s="2"/>
      <c r="D22" s="2"/>
      <c r="E22" s="2"/>
      <c r="F22" s="2"/>
    </row>
    <row r="23" customFormat="false" ht="30" hidden="false" customHeight="true" outlineLevel="0" collapsed="false">
      <c r="A23" s="3" t="s">
        <v>147</v>
      </c>
      <c r="B23" s="3"/>
      <c r="C23" s="3"/>
      <c r="D23" s="3"/>
      <c r="E23" s="3"/>
      <c r="F23" s="3"/>
    </row>
    <row r="25" customFormat="false" ht="30" hidden="false" customHeight="true" outlineLevel="0" collapsed="false">
      <c r="A25" s="19" t="s">
        <v>120</v>
      </c>
      <c r="B25" s="19" t="s">
        <v>148</v>
      </c>
      <c r="C25" s="19" t="s">
        <v>149</v>
      </c>
      <c r="D25" s="19" t="s">
        <v>150</v>
      </c>
      <c r="E25" s="19" t="s">
        <v>151</v>
      </c>
      <c r="F25" s="19" t="s">
        <v>152</v>
      </c>
    </row>
    <row r="26" customFormat="false" ht="15" hidden="false" customHeight="true" outlineLevel="0" collapsed="false">
      <c r="A26" s="62" t="s">
        <v>126</v>
      </c>
      <c r="B26" s="41" t="s">
        <v>153</v>
      </c>
      <c r="C26" s="27" t="n">
        <f aca="false">D9</f>
        <v>970</v>
      </c>
      <c r="D26" s="27" t="n">
        <v>1</v>
      </c>
      <c r="E26" s="63" t="n">
        <f aca="false">C26*D26</f>
        <v>970</v>
      </c>
      <c r="F26" s="41" t="s">
        <v>154</v>
      </c>
    </row>
    <row r="27" customFormat="false" ht="15" hidden="false" customHeight="true" outlineLevel="0" collapsed="false">
      <c r="A27" s="62" t="s">
        <v>134</v>
      </c>
      <c r="B27" s="41" t="s">
        <v>155</v>
      </c>
      <c r="C27" s="27" t="n">
        <f aca="false">D14</f>
        <v>433</v>
      </c>
      <c r="D27" s="27" t="n">
        <v>5</v>
      </c>
      <c r="E27" s="63" t="n">
        <f aca="false">C27*D27</f>
        <v>2165</v>
      </c>
      <c r="F27" s="41" t="s">
        <v>156</v>
      </c>
    </row>
    <row r="28" customFormat="false" ht="15" hidden="false" customHeight="true" outlineLevel="0" collapsed="false">
      <c r="A28" s="62" t="s">
        <v>141</v>
      </c>
      <c r="B28" s="41" t="s">
        <v>157</v>
      </c>
      <c r="C28" s="27" t="n">
        <f aca="false">D19</f>
        <v>97</v>
      </c>
      <c r="D28" s="27" t="n">
        <v>20</v>
      </c>
      <c r="E28" s="63" t="n">
        <f aca="false">C28*D28</f>
        <v>1940</v>
      </c>
      <c r="F28" s="41" t="s">
        <v>158</v>
      </c>
    </row>
    <row r="29" customFormat="false" ht="15" hidden="false" customHeight="true" outlineLevel="0" collapsed="false">
      <c r="A29" s="26"/>
      <c r="B29" s="64" t="s">
        <v>159</v>
      </c>
      <c r="C29" s="26"/>
      <c r="D29" s="26"/>
      <c r="E29" s="63" t="n">
        <f aca="false">SUM(E26:E28)</f>
        <v>5075</v>
      </c>
      <c r="F29" s="26"/>
    </row>
    <row r="30" customFormat="false" ht="15" hidden="false" customHeight="true" outlineLevel="0" collapsed="false">
      <c r="A30" s="26"/>
      <c r="B30" s="26"/>
      <c r="C30" s="26"/>
      <c r="D30" s="26"/>
      <c r="E30" s="26"/>
      <c r="F30" s="26"/>
    </row>
    <row r="31" customFormat="false" ht="15" hidden="false" customHeight="true" outlineLevel="0" collapsed="false">
      <c r="A31" s="26"/>
      <c r="B31" s="64" t="s">
        <v>160</v>
      </c>
      <c r="C31" s="26"/>
      <c r="D31" s="26"/>
      <c r="E31" s="65" t="n">
        <f aca="false">'1. Presupuesto'!G24</f>
        <v>1118000</v>
      </c>
      <c r="F31" s="66" t="s">
        <v>161</v>
      </c>
    </row>
    <row r="33" customFormat="false" ht="30" hidden="false" customHeight="true" outlineLevel="0" collapsed="false">
      <c r="A33" s="67" t="s">
        <v>162</v>
      </c>
      <c r="B33" s="67"/>
      <c r="C33" s="67"/>
      <c r="D33" s="67"/>
      <c r="E33" s="68" t="n">
        <f aca="false">IFERROR(E29/E31*1000,0)</f>
        <v>4.53935599284437</v>
      </c>
      <c r="F33" s="69" t="s">
        <v>163</v>
      </c>
    </row>
    <row r="35" customFormat="false" ht="15" hidden="false" customHeight="true" outlineLevel="0" collapsed="false">
      <c r="A35" s="3" t="s">
        <v>164</v>
      </c>
      <c r="B35" s="3"/>
      <c r="C35" s="3"/>
      <c r="D35" s="3"/>
      <c r="E35" s="3"/>
      <c r="F35" s="3"/>
    </row>
    <row r="36" customFormat="false" ht="15" hidden="false" customHeight="true" outlineLevel="0" collapsed="false">
      <c r="A36" s="18"/>
      <c r="B36" s="18"/>
      <c r="C36" s="18"/>
      <c r="D36" s="18"/>
      <c r="E36" s="18"/>
      <c r="F36" s="18"/>
    </row>
  </sheetData>
  <mergeCells count="8">
    <mergeCell ref="A1:F1"/>
    <mergeCell ref="A2:F2"/>
    <mergeCell ref="A3:F3"/>
    <mergeCell ref="A22:F22"/>
    <mergeCell ref="A23:F23"/>
    <mergeCell ref="A33:D33"/>
    <mergeCell ref="A35:F35"/>
    <mergeCell ref="A36:F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2026-09-13T20:25:21Z</dcterms:created>
  <dc:creator>Leidy Carolina Granados Celis</dc:creator>
  <dc:description/>
  <dc:language>en-US</dc:language>
  <cp:lastModifiedBy>Unknown</cp:lastModifiedBy>
  <dcterms:modified xsi:type="dcterms:W3CDTF">2026-09-14T03:42:39Z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