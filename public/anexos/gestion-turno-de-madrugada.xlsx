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. Resumen" state="visible" r:id="rId4"/>
    <sheet sheetId="2" name="1. Presupuesto" state="visible" r:id="rId5"/>
    <sheet sheetId="3" name="2. Cronograma" state="visible" r:id="rId6"/>
    <sheet sheetId="4" name="3. KPI e IEC" state="visible" r:id="rId7"/>
  </sheets>
  <calcPr calcId="171027"/>
</workbook>
</file>

<file path=xl/sharedStrings.xml><?xml version="1.0" encoding="utf-8"?>
<sst xmlns="http://schemas.openxmlformats.org/spreadsheetml/2006/main" count="230" uniqueCount="164">
  <si>
    <t>El turno de la madrugada</t>
  </si>
  <si>
    <t>Turno de madrugada · cronica hipertextual y episodio de audio</t>
  </si>
  <si>
    <t>Autora</t>
  </si>
  <si>
    <t>Leidy Carolina Granados Celis</t>
  </si>
  <si>
    <t>Asignatura</t>
  </si>
  <si>
    <t>Taller de Creación de Contenidos (CSP0344)</t>
  </si>
  <si>
    <t>Institucion</t>
  </si>
  <si>
    <t>Corporación Unificada Nacional de Educación Superior — CUN</t>
  </si>
  <si>
    <t>Ciudad</t>
  </si>
  <si>
    <t>Santa Marta, Magdalena</t>
  </si>
  <si>
    <t>Periodo de ejecucion</t>
  </si>
  <si>
    <t>Agosto – septiembre de 2026</t>
  </si>
  <si>
    <t>Nodo 1</t>
  </si>
  <si>
    <t>Cronica hipertextual en web</t>
  </si>
  <si>
    <t>Nodo 2</t>
  </si>
  <si>
    <t>Episodio de audio "Lo que queda del dia"</t>
  </si>
  <si>
    <t>Cifras de control</t>
  </si>
  <si>
    <t>Inversion CAPEX</t>
  </si>
  <si>
    <t>Inversion OPEX</t>
  </si>
  <si>
    <t>Inversion total</t>
  </si>
  <si>
    <t>Duracion del proyecto (dias)</t>
  </si>
  <si>
    <t>Valor de impacto (puntos)</t>
  </si>
  <si>
    <t>Indice de Eficiencia de Contenido</t>
  </si>
  <si>
    <t>Todas las cifras de este resumen son formulas enlazadas a las hojas 1, 2 y 3: cambiar un dato alli actualiza este cuadro.</t>
  </si>
  <si>
    <t>PENDIENTE DE VALIDACION: los valores del presupuesto son estimaciones. Deben confirmarse con los equipos y gastos reales antes de entregar.</t>
  </si>
  <si>
    <t>Presupuesto operativo</t>
  </si>
  <si>
    <t>El turno de la madrugada · Agosto – septiembre de 2026 · Cifras en pesos colombianos</t>
  </si>
  <si>
    <t>CIFRAS ESTIMADAS, PENDIENTES DE VALIDACION POR LA AUTORA. Son sus equipos y sus costos reales.</t>
  </si>
  <si>
    <t>Tipo</t>
  </si>
  <si>
    <t>Categoria</t>
  </si>
  <si>
    <t>Concepto</t>
  </si>
  <si>
    <t>Cantidad</t>
  </si>
  <si>
    <t>Unidad</t>
  </si>
  <si>
    <t>Valor unitario</t>
  </si>
  <si>
    <t>Subtotal</t>
  </si>
  <si>
    <t>Justificacion</t>
  </si>
  <si>
    <t>CAPEX</t>
  </si>
  <si>
    <t>Captura de audio</t>
  </si>
  <si>
    <t>Micrófono de solapa con cable TRRS</t>
  </si>
  <si>
    <t>unidad</t>
  </si>
  <si>
    <t>Necesario para el estándar de -12 dB a -6 dB</t>
  </si>
  <si>
    <t>Auriculares cerrados de monitoreo</t>
  </si>
  <si>
    <t>Control de saturación durante la grabación</t>
  </si>
  <si>
    <t>Captura de video</t>
  </si>
  <si>
    <t>Tripode con soporte para movil</t>
  </si>
  <si>
    <t>Encuadre estable, regla de los tercios</t>
  </si>
  <si>
    <t>Almacenamiento</t>
  </si>
  <si>
    <t>Tarjeta microSD 128 GB clase 10</t>
  </si>
  <si>
    <t>Brutos de audio y respaldo</t>
  </si>
  <si>
    <t>Equipo base</t>
  </si>
  <si>
    <t>Movil 1080p: depreciacion del periodo</t>
  </si>
  <si>
    <t>mes</t>
  </si>
  <si>
    <t>Equipo propio de 1.800.000 a 24 meses</t>
  </si>
  <si>
    <t>Subtotal CAPEX  ·  bienes duraderos y equipos</t>
  </si>
  <si>
    <t>OPEX</t>
  </si>
  <si>
    <t>Conectividad</t>
  </si>
  <si>
    <t>Plan de datos moviles</t>
  </si>
  <si>
    <t>Reporteria en terreno y publicacion</t>
  </si>
  <si>
    <t>Internet fijo del hogar</t>
  </si>
  <si>
    <t>Edicion y desarrollo en franja de madrugada</t>
  </si>
  <si>
    <t>Transporte de campo</t>
  </si>
  <si>
    <t>Pasajes urbanos para reporteria</t>
  </si>
  <si>
    <t>viaje</t>
  </si>
  <si>
    <t>Centros de Escucha y recorridos por barrios</t>
  </si>
  <si>
    <t>Viaticos</t>
  </si>
  <si>
    <t>Alimentacion en jornadas de terreno</t>
  </si>
  <si>
    <t>jornada</t>
  </si>
  <si>
    <t>Salidas de mas de cinco horas</t>
  </si>
  <si>
    <t>Tramites</t>
  </si>
  <si>
    <t>Impresiones y radicacion de derechos de peticion</t>
  </si>
  <si>
    <t>global</t>
  </si>
  <si>
    <t>Solicitud a Bienestar Universitario</t>
  </si>
  <si>
    <t>Publicacion</t>
  </si>
  <si>
    <t>Dominio propio: prorrateo del periodo</t>
  </si>
  <si>
    <t>Anualidad de 90.000 repartida</t>
  </si>
  <si>
    <t>Alojamiento web y base de datos</t>
  </si>
  <si>
    <t>Vercel y Supabase en plan gratuito</t>
  </si>
  <si>
    <t>Distribucion del podcast</t>
  </si>
  <si>
    <t>Spotify for Creators, sin costo</t>
  </si>
  <si>
    <t>Postproduccion</t>
  </si>
  <si>
    <t>Software de edicion de audio</t>
  </si>
  <si>
    <t>Audacity, software libre</t>
  </si>
  <si>
    <t>Subtotal OPEX  ·  operacion, conectividad y trabajo de campo</t>
  </si>
  <si>
    <t>INVERSION TOTAL DEL PROYECTO</t>
  </si>
  <si>
    <t>Peso de cada tipo</t>
  </si>
  <si>
    <t>Cronograma de tiempos y movimientos</t>
  </si>
  <si>
    <t>El turno de la madrugada · Diagrama de Gantt por fase y por nodo transmedia</t>
  </si>
  <si>
    <t>ago</t>
  </si>
  <si>
    <t>sep</t>
  </si>
  <si>
    <t>Fase</t>
  </si>
  <si>
    <t>Tarea</t>
  </si>
  <si>
    <t>Nodo</t>
  </si>
  <si>
    <t>Inicio</t>
  </si>
  <si>
    <t>Fin</t>
  </si>
  <si>
    <t>Dias</t>
  </si>
  <si>
    <t>Preproduccion intelectual</t>
  </si>
  <si>
    <t>Definicion del angulo y de la tesis</t>
  </si>
  <si>
    <t>Ambos</t>
  </si>
  <si>
    <t/>
  </si>
  <si>
    <t>Rastreo documental: DANE, Minsalud, leyes</t>
  </si>
  <si>
    <t>Verificacion factica de cada cifra</t>
  </si>
  <si>
    <t>Redaccion y radicacion del derecho de peticion</t>
  </si>
  <si>
    <t>Produccion Nodo 1</t>
  </si>
  <si>
    <t>Escritura de la cronica</t>
  </si>
  <si>
    <t>Diseno de las cinco capas del hipertexto</t>
  </si>
  <si>
    <t>Produccion Nodo 2</t>
  </si>
  <si>
    <t>Guion del episodio en primera persona</t>
  </si>
  <si>
    <t>Grabacion en franja de madrugada</t>
  </si>
  <si>
    <t>Desarrollo y accesibilidad del sitio</t>
  </si>
  <si>
    <t>Edicion y control de niveles del audio</t>
  </si>
  <si>
    <t>Publicacion de ambos nodos</t>
  </si>
  <si>
    <t>Distribucion y medicion</t>
  </si>
  <si>
    <t>Difusion y recogida de aportes del publico</t>
  </si>
  <si>
    <t>Lectura de metricas y calculo del IEC</t>
  </si>
  <si>
    <t>Leyenda</t>
  </si>
  <si>
    <t>Tablero de control de impacto</t>
  </si>
  <si>
    <t>El turno de la madrugada · Metricas simuladas de Alcance, Engagement y Conversion</t>
  </si>
  <si>
    <t>La rubrica pide metricas SIMULADAS: la columna "Logrado" es una proyeccion declarada, no una medicion.</t>
  </si>
  <si>
    <t>Dimension</t>
  </si>
  <si>
    <t>Indicador</t>
  </si>
  <si>
    <t>Meta</t>
  </si>
  <si>
    <t>Logrado</t>
  </si>
  <si>
    <t>Cumplimiento</t>
  </si>
  <si>
    <t>Fuente de medicion</t>
  </si>
  <si>
    <t>Alcance</t>
  </si>
  <si>
    <t>Visitas unicas al Nodo 1</t>
  </si>
  <si>
    <t>Vercel Analytics</t>
  </si>
  <si>
    <t>Reproducciones iniciadas del Nodo 2</t>
  </si>
  <si>
    <t>Spotify for Creators</t>
  </si>
  <si>
    <t>Impresiones en difusion directa</t>
  </si>
  <si>
    <t>WhatsApp e Instagram</t>
  </si>
  <si>
    <t>Total Alcance</t>
  </si>
  <si>
    <t>Engagement</t>
  </si>
  <si>
    <t>Capas del hipertexto abiertas</t>
  </si>
  <si>
    <t>Evento en el sitio</t>
  </si>
  <si>
    <t>Votos en la encuesta</t>
  </si>
  <si>
    <t>Base de datos del sitio</t>
  </si>
  <si>
    <t>Escucha superior al 50 % del episodio</t>
  </si>
  <si>
    <t>Total Engagement</t>
  </si>
  <si>
    <t>Conversion</t>
  </si>
  <si>
    <t>Aportes escritos en el muro</t>
  </si>
  <si>
    <t>Clics en las lineas de ayuda</t>
  </si>
  <si>
    <t>Episodio escuchado hasta el final</t>
  </si>
  <si>
    <t>Total Conversion</t>
  </si>
  <si>
    <t>Indice de Eficiencia de Contenido (IEC)</t>
  </si>
  <si>
    <t>Convierte el impacto conseguido en puntos y lo divide entre la inversion. Una conversion pesa mas que una impresion: quien escribe su turno o marca una linea de ayuda hizo algo, no solo paso por delante.</t>
  </si>
  <si>
    <t>Formula</t>
  </si>
  <si>
    <t>Resultado</t>
  </si>
  <si>
    <t>Peso</t>
  </si>
  <si>
    <t>Puntos de impacto</t>
  </si>
  <si>
    <t>Nota</t>
  </si>
  <si>
    <t>Total logrado en Alcance</t>
  </si>
  <si>
    <t>Contacto con la pieza</t>
  </si>
  <si>
    <t>Total logrado en Engagement</t>
  </si>
  <si>
    <t>Interaccion con la pieza</t>
  </si>
  <si>
    <t>Total logrado en Conversion</t>
  </si>
  <si>
    <t>Accion completada por el publico</t>
  </si>
  <si>
    <t>Valor de impacto total (puntos)</t>
  </si>
  <si>
    <t>Inversion total del proyecto</t>
  </si>
  <si>
    <t>Enlazado con la hoja 1</t>
  </si>
  <si>
    <t>IEC  =  Valor de impacto / Inversion total x 1.000</t>
  </si>
  <si>
    <t>puntos por cada 1.000 COP</t>
  </si>
  <si>
    <t>Lectura del indice: cada 1.000 pesos invertidos produjeron esa cantidad de puntos de impacto. Sirve para comparar entre piezas y entre periodos, no como cifra absoluta.</t>
  </si>
  <si>
    <t>Si en clase se enseno otra formula del IEC, se sustituye la formula de la celda E33 y todo lo demas sigue calculando solo.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</si>
</sst>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;[Red]-&quot;$&quot;#,##0"/>
    <numFmt numFmtId="165" formatCode="0.0%"/>
    <numFmt numFmtId="166" formatCode="dd/mm"/>
  </numFmts>
  <fonts count="26" x14ac:knownFonts="1">
    <font>
      <color theme="1"/>
      <family val="2"/>
      <scheme val="minor"/>
      <sz val="11"/>
      <name val="Calibri"/>
    </font>
    <font>
      <b/>
      <color rgb="FF0F172A"/>
      <sz val="16"/>
      <name val="Calibri"/>
    </font>
    <font>
      <i/>
      <color rgb="FF64748B"/>
      <sz val="10"/>
      <name val="Calibri"/>
    </font>
    <font>
      <b/>
      <color rgb="FF64748B"/>
      <sz val="10"/>
    </font>
    <font>
      <color rgb="FF0F172A"/>
      <sz val="11"/>
    </font>
    <font>
      <b/>
      <color rgb="FF0F172A"/>
      <sz val="13"/>
    </font>
    <font>
      <sz val="11"/>
    </font>
    <font>
      <b/>
      <color rgb="FF0F172A"/>
      <sz val="12"/>
    </font>
    <font>
      <b/>
      <sz val="11"/>
    </font>
    <font>
      <b/>
      <color rgb="FF0EA5E9"/>
      <sz val="12"/>
    </font>
    <font>
      <i/>
      <color rgb="FFB45309"/>
      <sz val="10"/>
      <name val="Calibri"/>
    </font>
    <font>
      <b/>
      <color rgb="FFFFFFFF"/>
      <sz val="10"/>
      <name val="Calibri"/>
    </font>
    <font>
      <b/>
      <color rgb="FF0F172A"/>
      <sz val="10"/>
    </font>
    <font>
      <color rgb="FF64748B"/>
      <sz val="9"/>
    </font>
    <font>
      <b/>
      <color rgb="FF0F172A"/>
      <sz val="11"/>
    </font>
    <font>
      <b/>
      <color rgb="FFFFFFFF"/>
      <sz val="12"/>
    </font>
    <font>
      <b/>
      <sz val="10"/>
    </font>
    <font>
      <b/>
      <color rgb="FF64748B"/>
      <sz val="8"/>
    </font>
    <font>
      <b/>
      <color rgb="FFFFFFFF"/>
      <sz val="8"/>
    </font>
    <font>
      <sz val="10"/>
    </font>
    <font>
      <b/>
      <color rgb="FF0EA5E9"/>
      <sz val="10"/>
    </font>
    <font>
      <b/>
    </font>
    <font>
      <i/>
      <color rgb="FF64748B"/>
      <sz val="9"/>
    </font>
    <font>
      <b/>
      <color rgb="FFFFFFFF"/>
      <sz val="13"/>
    </font>
    <font>
      <b/>
      <color rgb="FFFFFFFF"/>
      <sz val="14"/>
    </font>
    <font>
      <color rgb="FFFFFFFF"/>
      <sz val="9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7DD3FC"/>
      </patternFill>
    </fill>
    <fill>
      <patternFill patternType="solid">
        <fgColor rgb="FF0EA5E9"/>
      </patternFill>
    </fill>
    <fill>
      <patternFill patternType="solid">
        <fgColor rgb="FF38BDF8"/>
      </patternFill>
    </fill>
    <fill>
      <patternFill patternType="solid">
        <fgColor rgb="FF0369A1"/>
      </patternFill>
    </fill>
    <fill>
      <patternFill patternType="solid">
        <fgColor rgb="FFBAE6FD"/>
      </patternFill>
    </fill>
  </fills>
  <borders count="2">
    <border>
      <left/>
      <right/>
      <top/>
      <bottom/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8" fillId="0" borderId="0" xfId="0" applyFont="1"/>
    <xf numFmtId="1" fontId="7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left"/>
    </xf>
    <xf numFmtId="0" fontId="10" fillId="0" borderId="0" xfId="0" applyFont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0" fontId="13" fillId="3" borderId="1" xfId="0" applyFont="1" applyFill="1" applyBorder="1" applyAlignment="1">
      <alignment vertical="center" wrapText="1"/>
    </xf>
    <xf numFmtId="0" fontId="1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right"/>
    </xf>
    <xf numFmtId="164" fontId="14" fillId="0" borderId="1" xfId="0" applyNumberFormat="1" applyFont="1" applyBorder="1"/>
    <xf numFmtId="0" fontId="3" fillId="0" borderId="1" xfId="0" applyFont="1" applyBorder="1"/>
    <xf numFmtId="0" fontId="3" fillId="3" borderId="1" xfId="0" applyFont="1" applyFill="1" applyBorder="1"/>
    <xf numFmtId="0" fontId="15" fillId="2" borderId="1" xfId="0" applyFont="1" applyFill="1" applyBorder="1" applyAlignment="1">
      <alignment horizontal="right" vertical="center"/>
    </xf>
    <xf numFmtId="164" fontId="15" fillId="2" borderId="1" xfId="0" applyNumberFormat="1" applyFont="1" applyFill="1" applyBorder="1"/>
    <xf numFmtId="0" fontId="16" fillId="0" borderId="0" xfId="0" applyFont="1"/>
    <xf numFmtId="165" fontId="0" fillId="0" borderId="0" xfId="0" applyNumberFormat="1"/>
    <xf numFmtId="0" fontId="17" fillId="0" borderId="0" xfId="0" applyFont="1" applyAlignment="1">
      <alignment horizontal="left"/>
    </xf>
    <xf numFmtId="0" fontId="18" fillId="2" borderId="1" xfId="0" applyFont="1" applyFill="1" applyBorder="1" applyAlignment="1">
      <alignment horizontal="center"/>
    </xf>
    <xf numFmtId="0" fontId="19" fillId="0" borderId="1" xfId="0" applyFont="1" applyBorder="1"/>
    <xf numFmtId="0" fontId="13" fillId="0" borderId="1" xfId="0" applyFont="1" applyBorder="1"/>
    <xf numFmtId="166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4" borderId="0" xfId="0" applyFill="1"/>
    <xf numFmtId="0" fontId="19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0" fillId="3" borderId="1" xfId="0" applyFont="1" applyFill="1" applyBorder="1"/>
    <xf numFmtId="165" fontId="0" fillId="3" borderId="1" xfId="0" applyNumberFormat="1" applyFill="1" applyBorder="1" applyAlignment="1">
      <alignment horizontal="center"/>
    </xf>
    <xf numFmtId="0" fontId="13" fillId="3" borderId="1" xfId="0" applyFont="1" applyFill="1" applyBorder="1"/>
    <xf numFmtId="0" fontId="20" fillId="0" borderId="1" xfId="0" applyFont="1" applyBorder="1"/>
    <xf numFmtId="165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21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22" fillId="0" borderId="1" xfId="0" applyFont="1" applyBorder="1"/>
    <xf numFmtId="0" fontId="23" fillId="2" borderId="0" xfId="0" applyFont="1" applyFill="1" applyAlignment="1">
      <alignment horizontal="right" vertical="center"/>
    </xf>
    <xf numFmtId="2" fontId="24" fillId="2" borderId="0" xfId="0" applyNumberFormat="1" applyFont="1" applyFill="1" applyAlignment="1">
      <alignment horizontal="center" vertical="center"/>
    </xf>
    <xf numFmtId="0" fontId="2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C22"/>
  <sheetFormatPr defaultRowHeight="15" outlineLevelRow="0" outlineLevelCol="0" x14ac:dyDescent="55"/>
  <cols>
    <col min="1" max="1" width="34" customWidth="1"/>
    <col min="2" max="2" width="52" customWidth="1"/>
    <col min="3" max="3" width="22" customWidth="1"/>
  </cols>
  <sheetData>
    <row r="1" ht="2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 t="s">
        <v>13</v>
      </c>
    </row>
    <row r="10" spans="1:2" x14ac:dyDescent="0.25">
      <c r="A10" s="3" t="s">
        <v>14</v>
      </c>
      <c r="B10" s="4" t="s">
        <v>15</v>
      </c>
    </row>
    <row r="12" spans="1:1" x14ac:dyDescent="0.25">
      <c r="A12" s="5" t="s">
        <v>16</v>
      </c>
    </row>
    <row r="13" spans="1:2" x14ac:dyDescent="0.25">
      <c r="A13" s="6" t="s">
        <v>17</v>
      </c>
      <c r="B13" s="7">
        <f>'1. Presupuesto'!G11</f>
      </c>
    </row>
    <row r="14" spans="1:2" x14ac:dyDescent="0.25">
      <c r="A14" s="6" t="s">
        <v>18</v>
      </c>
      <c r="B14" s="7">
        <f>'1. Presupuesto'!G22</f>
      </c>
    </row>
    <row r="15" spans="1:2" x14ac:dyDescent="0.25">
      <c r="A15" s="8" t="s">
        <v>19</v>
      </c>
      <c r="B15" s="7">
        <f>'1. Presupuesto'!G24</f>
      </c>
    </row>
    <row r="16" spans="1:2" x14ac:dyDescent="0.25">
      <c r="A16" s="6" t="s">
        <v>20</v>
      </c>
      <c r="B16" s="9">
        <f>'2. Cronograma'!E17-'2. Cronograma'!D5+1</f>
      </c>
    </row>
    <row r="17" spans="1:2" x14ac:dyDescent="0.25">
      <c r="A17" s="6" t="s">
        <v>21</v>
      </c>
      <c r="B17" s="10">
        <f>'3. KPI e IEC'!E29</f>
      </c>
    </row>
    <row r="18" spans="1:2" x14ac:dyDescent="0.25">
      <c r="A18" s="8" t="s">
        <v>22</v>
      </c>
      <c r="B18" s="11">
        <f>'3. KPI e IEC'!E33</f>
      </c>
    </row>
    <row r="20" spans="1:3" x14ac:dyDescent="0.25">
      <c r="A20" s="2" t="s">
        <v>23</v>
      </c>
      <c r="B20" s="2"/>
      <c r="C20" s="2"/>
    </row>
    <row r="22" spans="1:3" x14ac:dyDescent="0.25">
      <c r="A22" s="12" t="s">
        <v>24</v>
      </c>
      <c r="B22" s="12"/>
      <c r="C22" s="12"/>
    </row>
  </sheetData>
  <mergeCells count="4">
    <mergeCell ref="A1:C1"/>
    <mergeCell ref="A2:C2"/>
    <mergeCell ref="A20:C20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  <pageSetUpPr fitToPage="1"/>
  </sheetPr>
  <dimension ref="A1:H2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6" customWidth="1"/>
    <col min="4" max="4" width="10" customWidth="1"/>
    <col min="5" max="5" width="12" customWidth="1"/>
    <col min="6" max="7" width="16" customWidth="1"/>
    <col min="8" max="8" width="44" customWidth="1"/>
  </cols>
  <sheetData>
    <row r="1" ht="26" customHeight="1" spans="1:8" x14ac:dyDescent="0.25">
      <c r="A1" s="1" t="s">
        <v>25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26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12" t="s">
        <v>27</v>
      </c>
      <c r="B3" s="12"/>
      <c r="C3" s="12"/>
      <c r="D3" s="12"/>
      <c r="E3" s="12"/>
      <c r="F3" s="12"/>
      <c r="G3" s="12"/>
      <c r="H3" s="12"/>
    </row>
    <row r="5" ht="30" customHeight="1" spans="1:8" x14ac:dyDescent="0.25">
      <c r="A5" s="13" t="s">
        <v>28</v>
      </c>
      <c r="B5" s="13" t="s">
        <v>29</v>
      </c>
      <c r="C5" s="13" t="s">
        <v>30</v>
      </c>
      <c r="D5" s="13" t="s">
        <v>31</v>
      </c>
      <c r="E5" s="13" t="s">
        <v>32</v>
      </c>
      <c r="F5" s="13" t="s">
        <v>33</v>
      </c>
      <c r="G5" s="13" t="s">
        <v>34</v>
      </c>
      <c r="H5" s="13" t="s">
        <v>35</v>
      </c>
    </row>
    <row r="6" spans="1:8" x14ac:dyDescent="0.25">
      <c r="A6" s="14" t="s">
        <v>36</v>
      </c>
      <c r="B6" s="15" t="s">
        <v>37</v>
      </c>
      <c r="C6" s="15" t="s">
        <v>38</v>
      </c>
      <c r="D6" s="16">
        <v>1</v>
      </c>
      <c r="E6" s="15" t="s">
        <v>39</v>
      </c>
      <c r="F6" s="17">
        <v>180000</v>
      </c>
      <c r="G6" s="17">
        <f>D6*F6</f>
      </c>
      <c r="H6" s="18" t="s">
        <v>40</v>
      </c>
    </row>
    <row r="7" spans="1:8" x14ac:dyDescent="0.25">
      <c r="A7" s="19" t="s">
        <v>36</v>
      </c>
      <c r="B7" s="20" t="s">
        <v>37</v>
      </c>
      <c r="C7" s="20" t="s">
        <v>41</v>
      </c>
      <c r="D7" s="21">
        <v>1</v>
      </c>
      <c r="E7" s="20" t="s">
        <v>39</v>
      </c>
      <c r="F7" s="22">
        <v>150000</v>
      </c>
      <c r="G7" s="22">
        <f>D7*F7</f>
      </c>
      <c r="H7" s="23" t="s">
        <v>42</v>
      </c>
    </row>
    <row r="8" spans="1:8" x14ac:dyDescent="0.25">
      <c r="A8" s="14" t="s">
        <v>36</v>
      </c>
      <c r="B8" s="15" t="s">
        <v>43</v>
      </c>
      <c r="C8" s="15" t="s">
        <v>44</v>
      </c>
      <c r="D8" s="16">
        <v>1</v>
      </c>
      <c r="E8" s="15" t="s">
        <v>39</v>
      </c>
      <c r="F8" s="17">
        <v>90000</v>
      </c>
      <c r="G8" s="17">
        <f>D8*F8</f>
      </c>
      <c r="H8" s="18" t="s">
        <v>45</v>
      </c>
    </row>
    <row r="9" spans="1:8" x14ac:dyDescent="0.25">
      <c r="A9" s="19" t="s">
        <v>36</v>
      </c>
      <c r="B9" s="20" t="s">
        <v>46</v>
      </c>
      <c r="C9" s="20" t="s">
        <v>47</v>
      </c>
      <c r="D9" s="21">
        <v>1</v>
      </c>
      <c r="E9" s="20" t="s">
        <v>39</v>
      </c>
      <c r="F9" s="22">
        <v>70000</v>
      </c>
      <c r="G9" s="22">
        <f>D9*F9</f>
      </c>
      <c r="H9" s="23" t="s">
        <v>48</v>
      </c>
    </row>
    <row r="10" spans="1:8" x14ac:dyDescent="0.25">
      <c r="A10" s="14" t="s">
        <v>36</v>
      </c>
      <c r="B10" s="15" t="s">
        <v>49</v>
      </c>
      <c r="C10" s="15" t="s">
        <v>50</v>
      </c>
      <c r="D10" s="16">
        <v>2</v>
      </c>
      <c r="E10" s="15" t="s">
        <v>51</v>
      </c>
      <c r="F10" s="17">
        <v>75000</v>
      </c>
      <c r="G10" s="17">
        <f>D10*F10</f>
      </c>
      <c r="H10" s="18" t="s">
        <v>52</v>
      </c>
    </row>
    <row r="11" spans="1:8" x14ac:dyDescent="0.25">
      <c r="A11" s="24" t="s">
        <v>53</v>
      </c>
      <c r="B11" s="24"/>
      <c r="C11" s="24"/>
      <c r="D11" s="24"/>
      <c r="E11" s="24"/>
      <c r="F11" s="24"/>
      <c r="G11" s="25">
        <f>SUM(G6:G10)</f>
      </c>
      <c r="H11" s="20"/>
    </row>
    <row r="12" spans="1:8" x14ac:dyDescent="0.25">
      <c r="A12" s="20"/>
      <c r="B12" s="20"/>
      <c r="C12" s="20"/>
      <c r="D12" s="20"/>
      <c r="E12" s="20"/>
      <c r="F12" s="20"/>
      <c r="G12" s="20"/>
      <c r="H12" s="20"/>
    </row>
    <row r="13" spans="1:8" x14ac:dyDescent="0.25">
      <c r="A13" s="26" t="s">
        <v>54</v>
      </c>
      <c r="B13" s="20" t="s">
        <v>55</v>
      </c>
      <c r="C13" s="20" t="s">
        <v>56</v>
      </c>
      <c r="D13" s="21">
        <v>2</v>
      </c>
      <c r="E13" s="20" t="s">
        <v>51</v>
      </c>
      <c r="F13" s="22">
        <v>60000</v>
      </c>
      <c r="G13" s="22">
        <f>D13*F13</f>
      </c>
      <c r="H13" s="23" t="s">
        <v>57</v>
      </c>
    </row>
    <row r="14" spans="1:8" x14ac:dyDescent="0.25">
      <c r="A14" s="27" t="s">
        <v>54</v>
      </c>
      <c r="B14" s="15" t="s">
        <v>55</v>
      </c>
      <c r="C14" s="15" t="s">
        <v>58</v>
      </c>
      <c r="D14" s="16">
        <v>2</v>
      </c>
      <c r="E14" s="15" t="s">
        <v>51</v>
      </c>
      <c r="F14" s="17">
        <v>85000</v>
      </c>
      <c r="G14" s="17">
        <f>D14*F14</f>
      </c>
      <c r="H14" s="18" t="s">
        <v>59</v>
      </c>
    </row>
    <row r="15" spans="1:8" x14ac:dyDescent="0.25">
      <c r="A15" s="26" t="s">
        <v>54</v>
      </c>
      <c r="B15" s="20" t="s">
        <v>60</v>
      </c>
      <c r="C15" s="20" t="s">
        <v>61</v>
      </c>
      <c r="D15" s="21">
        <v>20</v>
      </c>
      <c r="E15" s="20" t="s">
        <v>62</v>
      </c>
      <c r="F15" s="22">
        <v>2900</v>
      </c>
      <c r="G15" s="22">
        <f>D15*F15</f>
      </c>
      <c r="H15" s="23" t="s">
        <v>63</v>
      </c>
    </row>
    <row r="16" spans="1:8" x14ac:dyDescent="0.25">
      <c r="A16" s="27" t="s">
        <v>54</v>
      </c>
      <c r="B16" s="15" t="s">
        <v>64</v>
      </c>
      <c r="C16" s="15" t="s">
        <v>65</v>
      </c>
      <c r="D16" s="16">
        <v>6</v>
      </c>
      <c r="E16" s="15" t="s">
        <v>66</v>
      </c>
      <c r="F16" s="17">
        <v>15000</v>
      </c>
      <c r="G16" s="17">
        <f>D16*F16</f>
      </c>
      <c r="H16" s="18" t="s">
        <v>67</v>
      </c>
    </row>
    <row r="17" spans="1:8" x14ac:dyDescent="0.25">
      <c r="A17" s="26" t="s">
        <v>54</v>
      </c>
      <c r="B17" s="20" t="s">
        <v>68</v>
      </c>
      <c r="C17" s="20" t="s">
        <v>69</v>
      </c>
      <c r="D17" s="21">
        <v>1</v>
      </c>
      <c r="E17" s="20" t="s">
        <v>70</v>
      </c>
      <c r="F17" s="22">
        <v>25000</v>
      </c>
      <c r="G17" s="22">
        <f>D17*F17</f>
      </c>
      <c r="H17" s="23" t="s">
        <v>71</v>
      </c>
    </row>
    <row r="18" spans="1:8" x14ac:dyDescent="0.25">
      <c r="A18" s="27" t="s">
        <v>54</v>
      </c>
      <c r="B18" s="15" t="s">
        <v>72</v>
      </c>
      <c r="C18" s="15" t="s">
        <v>73</v>
      </c>
      <c r="D18" s="16">
        <v>2</v>
      </c>
      <c r="E18" s="15" t="s">
        <v>51</v>
      </c>
      <c r="F18" s="17">
        <v>7500</v>
      </c>
      <c r="G18" s="17">
        <f>D18*F18</f>
      </c>
      <c r="H18" s="18" t="s">
        <v>74</v>
      </c>
    </row>
    <row r="19" spans="1:8" x14ac:dyDescent="0.25">
      <c r="A19" s="26" t="s">
        <v>54</v>
      </c>
      <c r="B19" s="20" t="s">
        <v>72</v>
      </c>
      <c r="C19" s="20" t="s">
        <v>75</v>
      </c>
      <c r="D19" s="21">
        <v>2</v>
      </c>
      <c r="E19" s="20" t="s">
        <v>51</v>
      </c>
      <c r="F19" s="22">
        <v>0</v>
      </c>
      <c r="G19" s="22">
        <f>D19*F19</f>
      </c>
      <c r="H19" s="23" t="s">
        <v>76</v>
      </c>
    </row>
    <row r="20" spans="1:8" x14ac:dyDescent="0.25">
      <c r="A20" s="27" t="s">
        <v>54</v>
      </c>
      <c r="B20" s="15" t="s">
        <v>72</v>
      </c>
      <c r="C20" s="15" t="s">
        <v>77</v>
      </c>
      <c r="D20" s="16">
        <v>2</v>
      </c>
      <c r="E20" s="15" t="s">
        <v>51</v>
      </c>
      <c r="F20" s="17">
        <v>0</v>
      </c>
      <c r="G20" s="17">
        <f>D20*F20</f>
      </c>
      <c r="H20" s="18" t="s">
        <v>78</v>
      </c>
    </row>
    <row r="21" spans="1:8" x14ac:dyDescent="0.25">
      <c r="A21" s="26" t="s">
        <v>54</v>
      </c>
      <c r="B21" s="20" t="s">
        <v>79</v>
      </c>
      <c r="C21" s="20" t="s">
        <v>80</v>
      </c>
      <c r="D21" s="21">
        <v>1</v>
      </c>
      <c r="E21" s="20" t="s">
        <v>70</v>
      </c>
      <c r="F21" s="22">
        <v>0</v>
      </c>
      <c r="G21" s="22">
        <f>D21*F21</f>
      </c>
      <c r="H21" s="23" t="s">
        <v>81</v>
      </c>
    </row>
    <row r="22" spans="1:8" x14ac:dyDescent="0.25">
      <c r="A22" s="24" t="s">
        <v>82</v>
      </c>
      <c r="B22" s="24"/>
      <c r="C22" s="24"/>
      <c r="D22" s="24"/>
      <c r="E22" s="24"/>
      <c r="F22" s="24"/>
      <c r="G22" s="25">
        <f>SUM(G13:G21)</f>
      </c>
      <c r="H22" s="20"/>
    </row>
    <row r="23" spans="1:8" x14ac:dyDescent="0.25">
      <c r="A23" s="20"/>
      <c r="B23" s="20"/>
      <c r="C23" s="20"/>
      <c r="D23" s="20"/>
      <c r="E23" s="20"/>
      <c r="F23" s="20"/>
      <c r="G23" s="20"/>
      <c r="H23" s="20"/>
    </row>
    <row r="24" ht="24" customHeight="1" spans="1:8" x14ac:dyDescent="0.25">
      <c r="A24" s="28" t="s">
        <v>83</v>
      </c>
      <c r="B24" s="28"/>
      <c r="C24" s="28"/>
      <c r="D24" s="28"/>
      <c r="E24" s="28"/>
      <c r="F24" s="28"/>
      <c r="G24" s="29">
        <f>G11+G22</f>
      </c>
      <c r="H24" s="20"/>
    </row>
    <row r="26" spans="1:1" x14ac:dyDescent="0.25">
      <c r="A26" s="30" t="s">
        <v>84</v>
      </c>
    </row>
    <row r="27" spans="1:2" x14ac:dyDescent="0.25">
      <c r="A27" t="s">
        <v>36</v>
      </c>
      <c r="B27" s="31">
        <f>G11/G24</f>
      </c>
    </row>
    <row r="28" spans="1:2" x14ac:dyDescent="0.25">
      <c r="A28" t="s">
        <v>54</v>
      </c>
      <c r="B28" s="31">
        <f>G22/G24</f>
      </c>
    </row>
  </sheetData>
  <autoFilter ref="A5:H21"/>
  <mergeCells count="6">
    <mergeCell ref="A1:H1"/>
    <mergeCell ref="A2:H2"/>
    <mergeCell ref="A3:H3"/>
    <mergeCell ref="A11:F11"/>
    <mergeCell ref="A22:F22"/>
    <mergeCell ref="A24:F24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  <pageSetUpPr fitToPage="1"/>
  </sheetPr>
  <dimension ref="A1:AH24"/>
  <sheetViews>
    <sheetView workbookViewId="0">
      <pane xSplit="6" ySplit="4" topLeftCell="G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6" customWidth="1"/>
    <col min="3" max="3" width="12" customWidth="1"/>
    <col min="4" max="5" width="11" customWidth="1"/>
    <col min="6" max="6" width="8" customWidth="1"/>
    <col min="7" max="34" width="3.4" customWidth="1"/>
  </cols>
  <sheetData>
    <row r="1" ht="26" customHeight="1" spans="1:34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7:34" x14ac:dyDescent="0.25">
      <c r="G3" s="32" t="s">
        <v>87</v>
      </c>
      <c r="P3" s="32" t="s">
        <v>88</v>
      </c>
    </row>
    <row r="4" ht="30" customHeight="1" spans="1:34" x14ac:dyDescent="0.25">
      <c r="A4" s="13" t="s">
        <v>89</v>
      </c>
      <c r="B4" s="13" t="s">
        <v>90</v>
      </c>
      <c r="C4" s="13" t="s">
        <v>91</v>
      </c>
      <c r="D4" s="13" t="s">
        <v>92</v>
      </c>
      <c r="E4" s="13" t="s">
        <v>93</v>
      </c>
      <c r="F4" s="13" t="s">
        <v>94</v>
      </c>
      <c r="G4" s="33">
        <v>23</v>
      </c>
      <c r="H4" s="33">
        <v>24</v>
      </c>
      <c r="I4" s="33">
        <v>25</v>
      </c>
      <c r="J4" s="33">
        <v>26</v>
      </c>
      <c r="K4" s="33">
        <v>27</v>
      </c>
      <c r="L4" s="33">
        <v>28</v>
      </c>
      <c r="M4" s="33">
        <v>29</v>
      </c>
      <c r="N4" s="33">
        <v>30</v>
      </c>
      <c r="O4" s="33">
        <v>31</v>
      </c>
      <c r="P4" s="33">
        <v>1</v>
      </c>
      <c r="Q4" s="33">
        <v>2</v>
      </c>
      <c r="R4" s="33">
        <v>3</v>
      </c>
      <c r="S4" s="33">
        <v>4</v>
      </c>
      <c r="T4" s="33">
        <v>5</v>
      </c>
      <c r="U4" s="33">
        <v>6</v>
      </c>
      <c r="V4" s="33">
        <v>7</v>
      </c>
      <c r="W4" s="33">
        <v>8</v>
      </c>
      <c r="X4" s="33">
        <v>9</v>
      </c>
      <c r="Y4" s="33">
        <v>10</v>
      </c>
      <c r="Z4" s="33">
        <v>11</v>
      </c>
      <c r="AA4" s="33">
        <v>12</v>
      </c>
      <c r="AB4" s="33">
        <v>13</v>
      </c>
      <c r="AC4" s="33">
        <v>14</v>
      </c>
      <c r="AD4" s="33">
        <v>15</v>
      </c>
      <c r="AE4" s="33">
        <v>16</v>
      </c>
      <c r="AF4" s="33">
        <v>17</v>
      </c>
      <c r="AG4" s="33">
        <v>18</v>
      </c>
      <c r="AH4" s="33">
        <v>19</v>
      </c>
    </row>
    <row r="5" spans="1:34" x14ac:dyDescent="0.25">
      <c r="A5" s="19" t="s">
        <v>95</v>
      </c>
      <c r="B5" s="34" t="s">
        <v>96</v>
      </c>
      <c r="C5" s="35" t="s">
        <v>97</v>
      </c>
      <c r="D5" s="36">
        <v>46258</v>
      </c>
      <c r="E5" s="36">
        <v>46260</v>
      </c>
      <c r="F5" s="21">
        <f>E5-D5+1</f>
      </c>
      <c r="G5" s="37"/>
      <c r="H5" s="37"/>
      <c r="I5" s="37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spans="1:34" x14ac:dyDescent="0.25">
      <c r="A6" s="19" t="s">
        <v>98</v>
      </c>
      <c r="B6" s="34" t="s">
        <v>99</v>
      </c>
      <c r="C6" s="35" t="s">
        <v>97</v>
      </c>
      <c r="D6" s="36">
        <v>46260</v>
      </c>
      <c r="E6" s="36">
        <v>46266</v>
      </c>
      <c r="F6" s="21">
        <f>E6-D6+1</f>
      </c>
      <c r="G6" s="20"/>
      <c r="H6" s="20"/>
      <c r="I6" s="37"/>
      <c r="J6" s="37"/>
      <c r="K6" s="37"/>
      <c r="L6" s="37"/>
      <c r="M6" s="37"/>
      <c r="N6" s="37"/>
      <c r="O6" s="37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spans="1:34" x14ac:dyDescent="0.25">
      <c r="A7" s="19" t="s">
        <v>98</v>
      </c>
      <c r="B7" s="34" t="s">
        <v>100</v>
      </c>
      <c r="C7" s="35" t="s">
        <v>97</v>
      </c>
      <c r="D7" s="36">
        <v>46266</v>
      </c>
      <c r="E7" s="36">
        <v>46269</v>
      </c>
      <c r="F7" s="21">
        <f>E7-D7+1</f>
      </c>
      <c r="G7" s="20"/>
      <c r="H7" s="20"/>
      <c r="I7" s="20"/>
      <c r="J7" s="20"/>
      <c r="K7" s="20"/>
      <c r="L7" s="20"/>
      <c r="M7" s="20"/>
      <c r="N7" s="20"/>
      <c r="O7" s="37"/>
      <c r="P7" s="37"/>
      <c r="Q7" s="37"/>
      <c r="R7" s="37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</row>
    <row r="8" spans="1:34" x14ac:dyDescent="0.25">
      <c r="A8" s="19" t="s">
        <v>98</v>
      </c>
      <c r="B8" s="34" t="s">
        <v>101</v>
      </c>
      <c r="C8" s="35" t="s">
        <v>97</v>
      </c>
      <c r="D8" s="36">
        <v>46270</v>
      </c>
      <c r="E8" s="36">
        <v>46272</v>
      </c>
      <c r="F8" s="21">
        <f>E8-D8+1</f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37"/>
      <c r="T8" s="37"/>
      <c r="U8" s="37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x14ac:dyDescent="0.25">
      <c r="A9" s="19" t="s">
        <v>102</v>
      </c>
      <c r="B9" s="34" t="s">
        <v>103</v>
      </c>
      <c r="C9" s="35" t="s">
        <v>12</v>
      </c>
      <c r="D9" s="36">
        <v>46267</v>
      </c>
      <c r="E9" s="36">
        <v>46273</v>
      </c>
      <c r="F9" s="21">
        <f>E9-D9+1</f>
      </c>
      <c r="G9" s="20"/>
      <c r="H9" s="20"/>
      <c r="I9" s="20"/>
      <c r="J9" s="20"/>
      <c r="K9" s="20"/>
      <c r="L9" s="20"/>
      <c r="M9" s="20"/>
      <c r="N9" s="20"/>
      <c r="O9" s="20"/>
      <c r="P9" s="38"/>
      <c r="Q9" s="38"/>
      <c r="R9" s="38"/>
      <c r="S9" s="38"/>
      <c r="T9" s="38"/>
      <c r="U9" s="38"/>
      <c r="V9" s="38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x14ac:dyDescent="0.25">
      <c r="A10" s="19" t="s">
        <v>98</v>
      </c>
      <c r="B10" s="34" t="s">
        <v>104</v>
      </c>
      <c r="C10" s="35" t="s">
        <v>12</v>
      </c>
      <c r="D10" s="36">
        <v>46271</v>
      </c>
      <c r="E10" s="36">
        <v>46274</v>
      </c>
      <c r="F10" s="21">
        <f>E10-D10+1</f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38"/>
      <c r="U10" s="38"/>
      <c r="V10" s="38"/>
      <c r="W10" s="38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x14ac:dyDescent="0.25">
      <c r="A11" s="19" t="s">
        <v>105</v>
      </c>
      <c r="B11" s="34" t="s">
        <v>106</v>
      </c>
      <c r="C11" s="35" t="s">
        <v>14</v>
      </c>
      <c r="D11" s="36">
        <v>46273</v>
      </c>
      <c r="E11" s="36">
        <v>46275</v>
      </c>
      <c r="F11" s="21">
        <f>E11-D11+1</f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39"/>
      <c r="W11" s="39"/>
      <c r="X11" s="39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x14ac:dyDescent="0.25">
      <c r="A12" s="19" t="s">
        <v>98</v>
      </c>
      <c r="B12" s="34" t="s">
        <v>107</v>
      </c>
      <c r="C12" s="35" t="s">
        <v>14</v>
      </c>
      <c r="D12" s="36">
        <v>46276</v>
      </c>
      <c r="E12" s="36">
        <v>46277</v>
      </c>
      <c r="F12" s="21">
        <f>E12-D12+1</f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39"/>
      <c r="Z12" s="39"/>
      <c r="AA12" s="20"/>
      <c r="AB12" s="20"/>
      <c r="AC12" s="20"/>
      <c r="AD12" s="20"/>
      <c r="AE12" s="20"/>
      <c r="AF12" s="20"/>
      <c r="AG12" s="20"/>
      <c r="AH12" s="20"/>
    </row>
    <row r="13" spans="1:34" x14ac:dyDescent="0.25">
      <c r="A13" s="19" t="s">
        <v>79</v>
      </c>
      <c r="B13" s="34" t="s">
        <v>108</v>
      </c>
      <c r="C13" s="35" t="s">
        <v>12</v>
      </c>
      <c r="D13" s="36">
        <v>46274</v>
      </c>
      <c r="E13" s="36">
        <v>46278</v>
      </c>
      <c r="F13" s="21">
        <f>E13-D13+1</f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40"/>
      <c r="X13" s="40"/>
      <c r="Y13" s="40"/>
      <c r="Z13" s="40"/>
      <c r="AA13" s="40"/>
      <c r="AB13" s="20"/>
      <c r="AC13" s="20"/>
      <c r="AD13" s="20"/>
      <c r="AE13" s="20"/>
      <c r="AF13" s="20"/>
      <c r="AG13" s="20"/>
      <c r="AH13" s="20"/>
    </row>
    <row r="14" spans="1:34" x14ac:dyDescent="0.25">
      <c r="A14" s="19" t="s">
        <v>98</v>
      </c>
      <c r="B14" s="34" t="s">
        <v>109</v>
      </c>
      <c r="C14" s="35" t="s">
        <v>14</v>
      </c>
      <c r="D14" s="36">
        <v>46277</v>
      </c>
      <c r="E14" s="36">
        <v>46278</v>
      </c>
      <c r="F14" s="21">
        <f>E14-D14+1</f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40"/>
      <c r="AA14" s="40"/>
      <c r="AB14" s="20"/>
      <c r="AC14" s="20"/>
      <c r="AD14" s="20"/>
      <c r="AE14" s="20"/>
      <c r="AF14" s="20"/>
      <c r="AG14" s="20"/>
      <c r="AH14" s="20"/>
    </row>
    <row r="15" spans="1:34" x14ac:dyDescent="0.25">
      <c r="A15" s="19" t="s">
        <v>98</v>
      </c>
      <c r="B15" s="34" t="s">
        <v>110</v>
      </c>
      <c r="C15" s="35" t="s">
        <v>97</v>
      </c>
      <c r="D15" s="36">
        <v>46278</v>
      </c>
      <c r="E15" s="36">
        <v>46278</v>
      </c>
      <c r="F15" s="21">
        <f>E15-D15+1</f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40"/>
      <c r="AB15" s="20"/>
      <c r="AC15" s="20"/>
      <c r="AD15" s="20"/>
      <c r="AE15" s="20"/>
      <c r="AF15" s="20"/>
      <c r="AG15" s="20"/>
      <c r="AH15" s="20"/>
    </row>
    <row r="16" spans="1:34" x14ac:dyDescent="0.25">
      <c r="A16" s="19" t="s">
        <v>111</v>
      </c>
      <c r="B16" s="34" t="s">
        <v>112</v>
      </c>
      <c r="C16" s="35" t="s">
        <v>97</v>
      </c>
      <c r="D16" s="36">
        <v>46278</v>
      </c>
      <c r="E16" s="36">
        <v>46285</v>
      </c>
      <c r="F16" s="21">
        <f>E16-D16+1</f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41"/>
      <c r="AB16" s="41"/>
      <c r="AC16" s="41"/>
      <c r="AD16" s="41"/>
      <c r="AE16" s="41"/>
      <c r="AF16" s="41"/>
      <c r="AG16" s="41"/>
      <c r="AH16" s="41"/>
    </row>
    <row r="17" spans="1:34" x14ac:dyDescent="0.25">
      <c r="A17" s="19" t="s">
        <v>98</v>
      </c>
      <c r="B17" s="34" t="s">
        <v>113</v>
      </c>
      <c r="C17" s="35" t="s">
        <v>97</v>
      </c>
      <c r="D17" s="36">
        <v>46283</v>
      </c>
      <c r="E17" s="36">
        <v>46285</v>
      </c>
      <c r="F17" s="21">
        <f>E17-D17+1</f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41"/>
      <c r="AG17" s="41"/>
      <c r="AH17" s="41"/>
    </row>
    <row r="19" spans="1:1" x14ac:dyDescent="0.25">
      <c r="A19" s="30" t="s">
        <v>114</v>
      </c>
    </row>
    <row r="20" spans="1:2" x14ac:dyDescent="0.25">
      <c r="A20" s="42"/>
      <c r="B20" s="43" t="s">
        <v>95</v>
      </c>
    </row>
    <row r="21" spans="1:2" x14ac:dyDescent="0.25">
      <c r="A21" s="44"/>
      <c r="B21" s="43" t="s">
        <v>102</v>
      </c>
    </row>
    <row r="22" spans="1:2" x14ac:dyDescent="0.25">
      <c r="A22" s="45"/>
      <c r="B22" s="43" t="s">
        <v>105</v>
      </c>
    </row>
    <row r="23" spans="1:2" x14ac:dyDescent="0.25">
      <c r="A23" s="46"/>
      <c r="B23" s="43" t="s">
        <v>79</v>
      </c>
    </row>
    <row r="24" spans="1:2" x14ac:dyDescent="0.25">
      <c r="A24" s="47"/>
      <c r="B24" s="43" t="s">
        <v>111</v>
      </c>
    </row>
  </sheetData>
  <mergeCells count="2">
    <mergeCell ref="A1:AH1"/>
    <mergeCell ref="A2:AH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  <pageSetUpPr fitToPage="1"/>
  </sheetPr>
  <dimension ref="A1:F36"/>
  <sheetFormatPr defaultRowHeight="15" outlineLevelRow="0" outlineLevelCol="0" x14ac:dyDescent="55"/>
  <cols>
    <col min="1" max="1" width="16" customWidth="1"/>
    <col min="2" max="2" width="46" customWidth="1"/>
    <col min="3" max="4" width="12" customWidth="1"/>
    <col min="5" max="5" width="16" customWidth="1"/>
    <col min="6" max="6" width="28" customWidth="1"/>
  </cols>
  <sheetData>
    <row r="1" ht="26" customHeight="1" spans="1:6" x14ac:dyDescent="0.25">
      <c r="A1" s="1" t="s">
        <v>115</v>
      </c>
      <c r="B1" s="1"/>
      <c r="C1" s="1"/>
      <c r="D1" s="1"/>
      <c r="E1" s="1"/>
      <c r="F1" s="1"/>
    </row>
    <row r="2" spans="1:6" x14ac:dyDescent="0.25">
      <c r="A2" s="2" t="s">
        <v>116</v>
      </c>
      <c r="B2" s="2"/>
      <c r="C2" s="2"/>
      <c r="D2" s="2"/>
      <c r="E2" s="2"/>
      <c r="F2" s="2"/>
    </row>
    <row r="3" spans="1:6" x14ac:dyDescent="0.25">
      <c r="A3" s="12" t="s">
        <v>117</v>
      </c>
      <c r="B3" s="12"/>
      <c r="C3" s="12"/>
      <c r="D3" s="12"/>
      <c r="E3" s="12"/>
      <c r="F3" s="12"/>
    </row>
    <row r="5" ht="30" customHeight="1" spans="1:6" x14ac:dyDescent="0.25">
      <c r="A5" s="13" t="s">
        <v>118</v>
      </c>
      <c r="B5" s="13" t="s">
        <v>119</v>
      </c>
      <c r="C5" s="13" t="s">
        <v>120</v>
      </c>
      <c r="D5" s="13" t="s">
        <v>121</v>
      </c>
      <c r="E5" s="13" t="s">
        <v>122</v>
      </c>
      <c r="F5" s="13" t="s">
        <v>123</v>
      </c>
    </row>
    <row r="6" spans="1:6" x14ac:dyDescent="0.25">
      <c r="A6" s="48" t="s">
        <v>124</v>
      </c>
      <c r="B6" s="15" t="s">
        <v>125</v>
      </c>
      <c r="C6" s="16">
        <v>400</v>
      </c>
      <c r="D6" s="16">
        <v>312</v>
      </c>
      <c r="E6" s="49">
        <f>IFERROR(D6/C6,0)</f>
      </c>
      <c r="F6" s="50" t="s">
        <v>126</v>
      </c>
    </row>
    <row r="7" spans="1:6" x14ac:dyDescent="0.25">
      <c r="A7" s="51" t="s">
        <v>98</v>
      </c>
      <c r="B7" s="20" t="s">
        <v>127</v>
      </c>
      <c r="C7" s="21">
        <v>150</v>
      </c>
      <c r="D7" s="21">
        <v>118</v>
      </c>
      <c r="E7" s="52">
        <f>IFERROR(D7/C7,0)</f>
      </c>
      <c r="F7" s="35" t="s">
        <v>128</v>
      </c>
    </row>
    <row r="8" spans="1:6" x14ac:dyDescent="0.25">
      <c r="A8" s="48" t="s">
        <v>98</v>
      </c>
      <c r="B8" s="15" t="s">
        <v>129</v>
      </c>
      <c r="C8" s="16">
        <v>600</v>
      </c>
      <c r="D8" s="16">
        <v>540</v>
      </c>
      <c r="E8" s="49">
        <f>IFERROR(D8/C8,0)</f>
      </c>
      <c r="F8" s="50" t="s">
        <v>130</v>
      </c>
    </row>
    <row r="9" spans="1:6" x14ac:dyDescent="0.25">
      <c r="A9" s="20"/>
      <c r="B9" s="53" t="s">
        <v>131</v>
      </c>
      <c r="C9" s="54">
        <f>SUM(C6:C8)</f>
      </c>
      <c r="D9" s="54">
        <f>SUM(D6:D8)</f>
      </c>
      <c r="E9" s="55">
        <f>IFERROR(D9/C9,0)</f>
      </c>
      <c r="F9" s="20"/>
    </row>
    <row r="10" spans="1:6" x14ac:dyDescent="0.25">
      <c r="A10" s="20"/>
      <c r="B10" s="20"/>
      <c r="C10" s="20"/>
      <c r="D10" s="20"/>
      <c r="E10" s="20"/>
      <c r="F10" s="20"/>
    </row>
    <row r="11" spans="1:6" x14ac:dyDescent="0.25">
      <c r="A11" s="51" t="s">
        <v>132</v>
      </c>
      <c r="B11" s="20" t="s">
        <v>133</v>
      </c>
      <c r="C11" s="21">
        <v>300</v>
      </c>
      <c r="D11" s="21">
        <v>268</v>
      </c>
      <c r="E11" s="52">
        <f>IFERROR(D11/C11,0)</f>
      </c>
      <c r="F11" s="35" t="s">
        <v>134</v>
      </c>
    </row>
    <row r="12" spans="1:6" x14ac:dyDescent="0.25">
      <c r="A12" s="48" t="s">
        <v>98</v>
      </c>
      <c r="B12" s="15" t="s">
        <v>135</v>
      </c>
      <c r="C12" s="16">
        <v>120</v>
      </c>
      <c r="D12" s="16">
        <v>94</v>
      </c>
      <c r="E12" s="49">
        <f>IFERROR(D12/C12,0)</f>
      </c>
      <c r="F12" s="50" t="s">
        <v>136</v>
      </c>
    </row>
    <row r="13" spans="1:6" x14ac:dyDescent="0.25">
      <c r="A13" s="51" t="s">
        <v>98</v>
      </c>
      <c r="B13" s="20" t="s">
        <v>137</v>
      </c>
      <c r="C13" s="21">
        <v>90</v>
      </c>
      <c r="D13" s="21">
        <v>71</v>
      </c>
      <c r="E13" s="52">
        <f>IFERROR(D13/C13,0)</f>
      </c>
      <c r="F13" s="35" t="s">
        <v>128</v>
      </c>
    </row>
    <row r="14" spans="1:6" x14ac:dyDescent="0.25">
      <c r="A14" s="20"/>
      <c r="B14" s="53" t="s">
        <v>138</v>
      </c>
      <c r="C14" s="54">
        <f>SUM(C11:C13)</f>
      </c>
      <c r="D14" s="54">
        <f>SUM(D11:D13)</f>
      </c>
      <c r="E14" s="55">
        <f>IFERROR(D14/C14,0)</f>
      </c>
      <c r="F14" s="20"/>
    </row>
    <row r="15" spans="1:6" x14ac:dyDescent="0.25">
      <c r="A15" s="20"/>
      <c r="B15" s="20"/>
      <c r="C15" s="20"/>
      <c r="D15" s="20"/>
      <c r="E15" s="20"/>
      <c r="F15" s="20"/>
    </row>
    <row r="16" spans="1:6" x14ac:dyDescent="0.25">
      <c r="A16" s="48" t="s">
        <v>139</v>
      </c>
      <c r="B16" s="15" t="s">
        <v>140</v>
      </c>
      <c r="C16" s="16">
        <v>40</v>
      </c>
      <c r="D16" s="16">
        <v>31</v>
      </c>
      <c r="E16" s="49">
        <f>IFERROR(D16/C16,0)</f>
      </c>
      <c r="F16" s="50" t="s">
        <v>136</v>
      </c>
    </row>
    <row r="17" spans="1:6" x14ac:dyDescent="0.25">
      <c r="A17" s="51" t="s">
        <v>98</v>
      </c>
      <c r="B17" s="20" t="s">
        <v>141</v>
      </c>
      <c r="C17" s="21">
        <v>25</v>
      </c>
      <c r="D17" s="21">
        <v>19</v>
      </c>
      <c r="E17" s="52">
        <f>IFERROR(D17/C17,0)</f>
      </c>
      <c r="F17" s="35" t="s">
        <v>134</v>
      </c>
    </row>
    <row r="18" spans="1:6" x14ac:dyDescent="0.25">
      <c r="A18" s="48" t="s">
        <v>98</v>
      </c>
      <c r="B18" s="15" t="s">
        <v>142</v>
      </c>
      <c r="C18" s="16">
        <v>60</v>
      </c>
      <c r="D18" s="16">
        <v>47</v>
      </c>
      <c r="E18" s="49">
        <f>IFERROR(D18/C18,0)</f>
      </c>
      <c r="F18" s="50" t="s">
        <v>128</v>
      </c>
    </row>
    <row r="19" spans="1:6" x14ac:dyDescent="0.25">
      <c r="A19" s="20"/>
      <c r="B19" s="53" t="s">
        <v>143</v>
      </c>
      <c r="C19" s="54">
        <f>SUM(C16:C18)</f>
      </c>
      <c r="D19" s="54">
        <f>SUM(D16:D18)</f>
      </c>
      <c r="E19" s="55">
        <f>IFERROR(D19/C19,0)</f>
      </c>
      <c r="F19" s="20"/>
    </row>
    <row r="22" ht="26" customHeight="1" spans="1:6" x14ac:dyDescent="0.25">
      <c r="A22" s="1" t="s">
        <v>144</v>
      </c>
      <c r="B22" s="1"/>
      <c r="C22" s="1"/>
      <c r="D22" s="1"/>
      <c r="E22" s="1"/>
      <c r="F22" s="1"/>
    </row>
    <row r="23" ht="30" customHeight="1" spans="1:6" x14ac:dyDescent="0.25">
      <c r="A23" s="2" t="s">
        <v>145</v>
      </c>
      <c r="B23" s="2"/>
      <c r="C23" s="2"/>
      <c r="D23" s="2"/>
      <c r="E23" s="2"/>
      <c r="F23" s="2"/>
    </row>
    <row r="25" ht="30" customHeight="1" spans="1:6" x14ac:dyDescent="0.25">
      <c r="A25" s="13" t="s">
        <v>118</v>
      </c>
      <c r="B25" s="13" t="s">
        <v>146</v>
      </c>
      <c r="C25" s="13" t="s">
        <v>147</v>
      </c>
      <c r="D25" s="13" t="s">
        <v>148</v>
      </c>
      <c r="E25" s="13" t="s">
        <v>149</v>
      </c>
      <c r="F25" s="13" t="s">
        <v>150</v>
      </c>
    </row>
    <row r="26" spans="1:6" x14ac:dyDescent="0.25">
      <c r="A26" s="56" t="s">
        <v>124</v>
      </c>
      <c r="B26" s="35" t="s">
        <v>151</v>
      </c>
      <c r="C26" s="21">
        <f>D9</f>
      </c>
      <c r="D26" s="21">
        <v>1</v>
      </c>
      <c r="E26" s="57">
        <f>C26*D26</f>
      </c>
      <c r="F26" s="35" t="s">
        <v>152</v>
      </c>
    </row>
    <row r="27" spans="1:6" x14ac:dyDescent="0.25">
      <c r="A27" s="56" t="s">
        <v>132</v>
      </c>
      <c r="B27" s="35" t="s">
        <v>153</v>
      </c>
      <c r="C27" s="21">
        <f>D14</f>
      </c>
      <c r="D27" s="21">
        <v>5</v>
      </c>
      <c r="E27" s="57">
        <f>C27*D27</f>
      </c>
      <c r="F27" s="35" t="s">
        <v>154</v>
      </c>
    </row>
    <row r="28" spans="1:6" x14ac:dyDescent="0.25">
      <c r="A28" s="56" t="s">
        <v>139</v>
      </c>
      <c r="B28" s="35" t="s">
        <v>155</v>
      </c>
      <c r="C28" s="21">
        <f>D19</f>
      </c>
      <c r="D28" s="21">
        <v>20</v>
      </c>
      <c r="E28" s="57">
        <f>C28*D28</f>
      </c>
      <c r="F28" s="35" t="s">
        <v>156</v>
      </c>
    </row>
    <row r="29" spans="1:6" x14ac:dyDescent="0.25">
      <c r="A29" s="20"/>
      <c r="B29" s="58" t="s">
        <v>157</v>
      </c>
      <c r="C29" s="20"/>
      <c r="D29" s="20"/>
      <c r="E29" s="59">
        <f>SUM(E26:E28)</f>
      </c>
      <c r="F29" s="20"/>
    </row>
    <row r="30" spans="1:6" x14ac:dyDescent="0.25">
      <c r="A30" s="20"/>
      <c r="B30" s="20"/>
      <c r="C30" s="20"/>
      <c r="D30" s="20"/>
      <c r="E30" s="20"/>
      <c r="F30" s="20"/>
    </row>
    <row r="31" spans="1:6" x14ac:dyDescent="0.25">
      <c r="A31" s="20"/>
      <c r="B31" s="58" t="s">
        <v>158</v>
      </c>
      <c r="C31" s="20"/>
      <c r="D31" s="20"/>
      <c r="E31" s="60">
        <f>'1. Presupuesto'!G24</f>
      </c>
      <c r="F31" s="61" t="s">
        <v>159</v>
      </c>
    </row>
    <row r="33" ht="30" customHeight="1" spans="1:6" x14ac:dyDescent="0.25">
      <c r="A33" s="62" t="s">
        <v>160</v>
      </c>
      <c r="B33" s="62"/>
      <c r="C33" s="62"/>
      <c r="D33" s="62"/>
      <c r="E33" s="63">
        <f>IFERROR(E29/E31*1000,0)</f>
      </c>
      <c r="F33" s="64" t="s">
        <v>161</v>
      </c>
    </row>
    <row r="35" spans="1:6" x14ac:dyDescent="0.25">
      <c r="A35" s="2" t="s">
        <v>162</v>
      </c>
      <c r="B35" s="2"/>
      <c r="C35" s="2"/>
      <c r="D35" s="2"/>
      <c r="E35" s="2"/>
      <c r="F35" s="2"/>
    </row>
    <row r="36" spans="1:6" x14ac:dyDescent="0.25">
      <c r="A36" s="12" t="s">
        <v>163</v>
      </c>
      <c r="B36" s="12"/>
      <c r="C36" s="12"/>
      <c r="D36" s="12"/>
      <c r="E36" s="12"/>
      <c r="F36" s="12"/>
    </row>
  </sheetData>
  <mergeCells count="8">
    <mergeCell ref="A1:F1"/>
    <mergeCell ref="A2:F2"/>
    <mergeCell ref="A3:F3"/>
    <mergeCell ref="A22:F22"/>
    <mergeCell ref="A23:F23"/>
    <mergeCell ref="A33:D33"/>
    <mergeCell ref="A35:F35"/>
    <mergeCell ref="A36:F36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Resumen</vt:lpstr>
      <vt:lpstr>1. Presupuesto</vt:lpstr>
      <vt:lpstr>2. Cronograma</vt:lpstr>
      <vt:lpstr>3. KPI e IEC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Carolina Granados Celis</dc:creator>
  <dc:title/>
  <dc:subject/>
  <dc:description/>
  <cp:keywords/>
  <cp:category/>
  <cp:lastModifiedBy>Unknown</cp:lastModifiedBy>
  <dcterms:created xsi:type="dcterms:W3CDTF">2026-09-14T01:20:41Z</dcterms:created>
  <dcterms:modified xsi:type="dcterms:W3CDTF">2026-09-14T01:20:41Z</dcterms:modified>
</cp:coreProperties>
</file>